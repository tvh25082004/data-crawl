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mc:AlternateContent xmlns:mc="http://schemas.openxmlformats.org/markup-compatibility/2006">
    <mc:Choice Requires="x15">
      <x15ac:absPath xmlns:x15ac="http://schemas.microsoft.com/office/spreadsheetml/2010/11/ac" url="https://vingroupjsc.sharepoint.com/sites/VF_ATV/Shared Documents/Secret/Working Documents/4. Perceived Quality &amp; In plant Craftsmahip/001_PQ_GD&amp;T General/001_PQ Standard/003_PQ Audit standard file/"/>
    </mc:Choice>
  </mc:AlternateContent>
  <xr:revisionPtr revIDLastSave="0" documentId="8_{F537F956-B11F-43E8-9550-79226A005004}" xr6:coauthVersionLast="47" xr6:coauthVersionMax="47" xr10:uidLastSave="{00000000-0000-0000-0000-000000000000}"/>
  <bookViews>
    <workbookView xWindow="28680" yWindow="-120" windowWidth="29040" windowHeight="15720" firstSheet="5" activeTab="5" xr2:uid="{00000000-000D-0000-FFFF-FFFF00000000}"/>
  </bookViews>
  <sheets>
    <sheet name="PQ Audit Checklist" sheetId="3" r:id="rId1"/>
    <sheet name="Scoring guide PQ" sheetId="4" r:id="rId2"/>
    <sheet name="A&amp;U Audit Check list" sheetId="13" r:id="rId3"/>
    <sheet name="Scoring guide A&amp;U" sheetId="14" r:id="rId4"/>
    <sheet name="Must_Want Fix Guide" sheetId="16" r:id="rId5"/>
    <sheet name="Sheet11" sheetId="22" r:id="rId6"/>
    <sheet name="PQ Criteria" sheetId="2" r:id="rId7"/>
    <sheet name="Must_Want Fix " sheetId="5" state="hidden" r:id="rId8"/>
    <sheet name="RPN" sheetId="17" r:id="rId9"/>
    <sheet name="PHC Gate report" sheetId="6" r:id="rId10"/>
    <sheet name="Sheet2" sheetId="7" r:id="rId11"/>
    <sheet name="Sheet1" sheetId="9" r:id="rId12"/>
    <sheet name="Sheet3" sheetId="12"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s>
  <definedNames>
    <definedName name="\" localSheetId="8" hidden="1">{#N/A,#N/A,TRUE,"RIDE";#N/A,#N/A,TRUE,"STEERING";#N/A,#N/A,TRUE,"HANDLING";#N/A,#N/A,TRUE,"BRAKING"}</definedName>
    <definedName name="\a">[1]bobudget!#REF!</definedName>
    <definedName name="\b">[1]bobudget!#REF!</definedName>
    <definedName name="\c">[1]bobudget!#REF!</definedName>
    <definedName name="\l">[2]main!#REF!</definedName>
    <definedName name="\m">#N/A</definedName>
    <definedName name="\q">#N/A</definedName>
    <definedName name="______MAT1">#REF!</definedName>
    <definedName name="______MAT2">#REF!</definedName>
    <definedName name="______MAT3">#REF!</definedName>
    <definedName name="______p24500">#REF!</definedName>
    <definedName name="______ROW2">[1]bobudget!#REF!</definedName>
    <definedName name="______WIP1">#REF!</definedName>
    <definedName name="______WIP2">#REF!</definedName>
    <definedName name="_____MAT1">#REF!</definedName>
    <definedName name="_____MAT2">#REF!</definedName>
    <definedName name="_____MAT3">#REF!</definedName>
    <definedName name="_____p24500">#REF!</definedName>
    <definedName name="_____ROW2">[1]bobudget!#REF!</definedName>
    <definedName name="_____WIP1">#REF!</definedName>
    <definedName name="_____WIP2">#REF!</definedName>
    <definedName name="____DB777" hidden="1">{#N/A,#N/A,TRUE,"Y생산";#N/A,#N/A,TRUE,"Y판매";#N/A,#N/A,TRUE,"Y총물량";#N/A,#N/A,TRUE,"Y능력";#N/A,#N/A,TRUE,"YKD"}</definedName>
    <definedName name="____FG1" hidden="1">{#N/A,#N/A,FALSE,"단축1";#N/A,#N/A,FALSE,"단축2";#N/A,#N/A,FALSE,"단축3";#N/A,#N/A,FALSE,"장축";#N/A,#N/A,FALSE,"4WD"}</definedName>
    <definedName name="____LPS2" hidden="1">{#N/A,#N/A,FALSE,"단축1";#N/A,#N/A,FALSE,"단축2";#N/A,#N/A,FALSE,"단축3";#N/A,#N/A,FALSE,"장축";#N/A,#N/A,FALSE,"4WD"}</definedName>
    <definedName name="____MAT1">#REF!</definedName>
    <definedName name="____MAT2">#REF!</definedName>
    <definedName name="____MAT3">#REF!</definedName>
    <definedName name="____p24500">#REF!</definedName>
    <definedName name="____P6" hidden="1">{"SUM ALL YR",#N/A,FALSE,"SUM ALL YR";"sum01",#N/A,FALSE,"SUM 01";"sumM2",#N/A,FALSE,"SUM M2";"sum02",#N/A,FALSE,"SUM 02";"sum03",#N/A,FALSE,"SUM 03";"sum04",#N/A,FALSE,"SUM 04";"sum05",#N/A,FALSE,"SUM 05"}</definedName>
    <definedName name="____ROW2">[1]bobudget!#REF!</definedName>
    <definedName name="____W47" hidden="1">{"'A2 Product Specification'!$A$1:$J$157"}</definedName>
    <definedName name="____WIP1">#REF!</definedName>
    <definedName name="____WIP2">#REF!</definedName>
    <definedName name="___DB777" hidden="1">{#N/A,#N/A,TRUE,"Y생산";#N/A,#N/A,TRUE,"Y판매";#N/A,#N/A,TRUE,"Y총물량";#N/A,#N/A,TRUE,"Y능력";#N/A,#N/A,TRUE,"YKD"}</definedName>
    <definedName name="___FG1" hidden="1">{#N/A,#N/A,FALSE,"단축1";#N/A,#N/A,FALSE,"단축2";#N/A,#N/A,FALSE,"단축3";#N/A,#N/A,FALSE,"장축";#N/A,#N/A,FALSE,"4WD"}</definedName>
    <definedName name="___LPS2" hidden="1">{#N/A,#N/A,FALSE,"단축1";#N/A,#N/A,FALSE,"단축2";#N/A,#N/A,FALSE,"단축3";#N/A,#N/A,FALSE,"장축";#N/A,#N/A,FALSE,"4WD"}</definedName>
    <definedName name="___MAT1">#REF!</definedName>
    <definedName name="___MAT2">#REF!</definedName>
    <definedName name="___MAT3">#REF!</definedName>
    <definedName name="___p24500">#REF!</definedName>
    <definedName name="___P6" hidden="1">{"SUM ALL YR",#N/A,FALSE,"SUM ALL YR";"sum01",#N/A,FALSE,"SUM 01";"sumM2",#N/A,FALSE,"SUM M2";"sum02",#N/A,FALSE,"SUM 02";"sum03",#N/A,FALSE,"SUM 03";"sum04",#N/A,FALSE,"SUM 04";"sum05",#N/A,FALSE,"SUM 05"}</definedName>
    <definedName name="___ROW2">[3]bobudget!#REF!</definedName>
    <definedName name="___W47" hidden="1">{"'A2 Product Specification'!$A$1:$J$157"}</definedName>
    <definedName name="___WIP1">#REF!</definedName>
    <definedName name="___WIP2">#REF!</definedName>
    <definedName name="__123Graph_A" localSheetId="8" hidden="1">'[4]119'!#REF!</definedName>
    <definedName name="__123Graph_A" hidden="1">#REF!</definedName>
    <definedName name="__123Graph_A_1">'[4]119'!#REF!</definedName>
    <definedName name="__123Graph_A_2">'[5]119'!#REF!</definedName>
    <definedName name="__123Graph_A_3">'[5]119'!#REF!</definedName>
    <definedName name="__123Graph_A_4">'[4]119'!#REF!</definedName>
    <definedName name="__123Graph_B" hidden="1">'[4]119'!#REF!</definedName>
    <definedName name="__123Graph_B_1">'[4]119'!#REF!</definedName>
    <definedName name="__123Graph_B_2">'[5]119'!#REF!</definedName>
    <definedName name="__123Graph_B_3">'[5]119'!#REF!</definedName>
    <definedName name="__123Graph_B_4">'[4]119'!#REF!</definedName>
    <definedName name="__123Graph_C" hidden="1">'[4]119'!#REF!</definedName>
    <definedName name="__123Graph_C_1">'[4]119'!#REF!</definedName>
    <definedName name="__123Graph_C_2">'[5]119'!#REF!</definedName>
    <definedName name="__123Graph_C_3">'[5]119'!#REF!</definedName>
    <definedName name="__123Graph_C_4">'[4]119'!#REF!</definedName>
    <definedName name="__123Graph_X" localSheetId="8" hidden="1">'[4]119'!#REF!</definedName>
    <definedName name="__123Graph_X" hidden="1">#REF!</definedName>
    <definedName name="__123Graph_X_1">'[4]119'!#REF!</definedName>
    <definedName name="__123Graph_X_2">'[5]119'!#REF!</definedName>
    <definedName name="__123Graph_X_3">'[5]119'!#REF!</definedName>
    <definedName name="__123Graph_X_4">'[4]119'!#REF!</definedName>
    <definedName name="__2W47_" hidden="1">{"'A2 Product Specification'!$A$1:$J$157"}</definedName>
    <definedName name="__3T24_" hidden="1">{#N/A,#N/A,TRUE,"NRE";#N/A,#N/A,TRUE,"Tooling";#N/A,#N/A,TRUE,"Sample";#N/A,#N/A,TRUE,"Fixtures";#N/A,#N/A,TRUE,"Agency";#N/A,#N/A,TRUE,"Personnel"}</definedName>
    <definedName name="__a12" hidden="1">{"'Monthly 1997'!$A$3:$S$89"}</definedName>
    <definedName name="__DB777" hidden="1">{#N/A,#N/A,TRUE,"Y생산";#N/A,#N/A,TRUE,"Y판매";#N/A,#N/A,TRUE,"Y총물량";#N/A,#N/A,TRUE,"Y능력";#N/A,#N/A,TRUE,"YKD"}</definedName>
    <definedName name="__FG1" hidden="1">{#N/A,#N/A,FALSE,"단축1";#N/A,#N/A,FALSE,"단축2";#N/A,#N/A,FALSE,"단축3";#N/A,#N/A,FALSE,"장축";#N/A,#N/A,FALSE,"4WD"}</definedName>
    <definedName name="__LPS2" hidden="1">{#N/A,#N/A,FALSE,"단축1";#N/A,#N/A,FALSE,"단축2";#N/A,#N/A,FALSE,"단축3";#N/A,#N/A,FALSE,"장축";#N/A,#N/A,FALSE,"4WD"}</definedName>
    <definedName name="__MAT1">#REF!</definedName>
    <definedName name="__MAT2">#REF!</definedName>
    <definedName name="__MAT3">#REF!</definedName>
    <definedName name="__p24500">#REF!</definedName>
    <definedName name="__P6" hidden="1">{"SUM ALL YR",#N/A,FALSE,"SUM ALL YR";"sum01",#N/A,FALSE,"SUM 01";"sumM2",#N/A,FALSE,"SUM M2";"sum02",#N/A,FALSE,"SUM 02";"sum03",#N/A,FALSE,"SUM 03";"sum04",#N/A,FALSE,"SUM 04";"sum05",#N/A,FALSE,"SUM 05"}</definedName>
    <definedName name="__ROW2">[1]bobudget!#REF!</definedName>
    <definedName name="__W47" hidden="1">{"'A2 Product Specification'!$A$1:$J$157"}</definedName>
    <definedName name="__WIP1">#REF!</definedName>
    <definedName name="__WIP2">#REF!</definedName>
    <definedName name="__xlfn.BAHTTEXT" hidden="1">#NAME?</definedName>
    <definedName name="__xlfn.RTD" hidden="1">#NAME?</definedName>
    <definedName name="_1">#REF!</definedName>
    <definedName name="_1_1">#REF!</definedName>
    <definedName name="_1_2">#REF!</definedName>
    <definedName name="_1_3">#REF!</definedName>
    <definedName name="_1_4">#REF!</definedName>
    <definedName name="_10__123Graph_AC04C_FF_L" hidden="1">#REF!</definedName>
    <definedName name="_105__123Graph_Aｸﾞﾗﾌ_1" hidden="1">#REF!</definedName>
    <definedName name="_107__123Graph_Aｸﾞﾗﾌ_2" hidden="1">#REF!</definedName>
    <definedName name="_10W47_" hidden="1">{"'A2 Product Specification'!$A$1:$J$157"}</definedName>
    <definedName name="_110__123Graph_Bｸﾞﾗﾌ_1" hidden="1">#REF!</definedName>
    <definedName name="_112__123Graph_Bｸﾞﾗﾌ_2" hidden="1">#REF!</definedName>
    <definedName name="_12__123Graph_AC04C_FF_T" hidden="1">#REF!</definedName>
    <definedName name="_12__123Graph_Aｸﾞﾗﾌ_1" hidden="1">#REF!</definedName>
    <definedName name="_13__123Graph_Aｸﾞﾗﾌ_2" hidden="1">#REF!</definedName>
    <definedName name="_14__123Graph_AC04C_FR_L1" hidden="1">#REF!</definedName>
    <definedName name="_14__123Graph_Bｸﾞﾗﾌ_1" hidden="1">#REF!</definedName>
    <definedName name="_15__123Graph_Bｸﾞﾗﾌ_2" hidden="1">#REF!</definedName>
    <definedName name="_16__123Graph_AC04C_FR_L2" hidden="1">#REF!</definedName>
    <definedName name="_18__123Graph_AC04C_FR_T1" hidden="1">#REF!</definedName>
    <definedName name="_2">#REF!</definedName>
    <definedName name="_2__123Graph_AC04C_ALL_L1" hidden="1">#REF!</definedName>
    <definedName name="_2_1">#REF!</definedName>
    <definedName name="_2_2">#REF!</definedName>
    <definedName name="_2_3">#REF!</definedName>
    <definedName name="_2_4">#REF!</definedName>
    <definedName name="_20__123Graph_AC04C_FR_T2" hidden="1">#REF!</definedName>
    <definedName name="_22__123Graph_LBL_AC04C_FF_L" hidden="1">#REF!</definedName>
    <definedName name="_222" hidden="1">#REF!</definedName>
    <definedName name="_24__123Graph_LBL_AC04C_FF_T" hidden="1">#REF!</definedName>
    <definedName name="_26__123Graph_LBL_AC04C_FR_L1" hidden="1">#REF!</definedName>
    <definedName name="_28__123Graph_LBL_AC04C_FR_L2" hidden="1">#REF!</definedName>
    <definedName name="_2W47_" hidden="1">{"'A2 Product Specification'!$A$1:$J$157"}</definedName>
    <definedName name="_30__123Graph_LBL_AC04C_FR_T1" hidden="1">#REF!</definedName>
    <definedName name="_30A1_" hidden="1">{#N/A,#N/A,FALSE,"Tucson_2hdrs";#N/A,#N/A,FALSE,"Tucson_3hdrs";#N/A,#N/A,FALSE,"Tucson_4hdrs";#N/A,#N/A,FALSE,"Tucson_5hdrs";#N/A,#N/A,FALSE,"Tucson_6hrds";#N/A,#N/A,FALSE,"All Headers Cum Yield"}</definedName>
    <definedName name="_31G3_" hidden="1">{"'Mini Tower'!$A$1:$K$49"}</definedName>
    <definedName name="_32__123Graph_LBL_AC04C_FR_T2" hidden="1">#REF!</definedName>
    <definedName name="_32b1_" hidden="1">{#N/A,#N/A,FALSE,"Tucson_2hdrs";#N/A,#N/A,FALSE,"Tucson_3hdrs";#N/A,#N/A,FALSE,"Tucson_4hdrs";#N/A,#N/A,FALSE,"Tucson_5hdrs";#N/A,#N/A,FALSE,"Tucson_6hrds";#N/A,#N/A,FALSE,"All Headers Cum Yield"}</definedName>
    <definedName name="_32G3_" hidden="1">{"'Mini Tower'!$A$1:$K$49"}</definedName>
    <definedName name="_33W47_" hidden="1">{"'A2 Product Specification'!$A$1:$J$157"}</definedName>
    <definedName name="_34__123Graph_XC04C_ALL_T1" hidden="1">#REF!</definedName>
    <definedName name="_34G3_" hidden="1">{"'Mini Tower'!$A$1:$K$49"}</definedName>
    <definedName name="_35W47_" hidden="1">{"'A2 Product Specification'!$A$1:$J$157"}</definedName>
    <definedName name="_36__123Graph_XC04C_ALL_T2" hidden="1">#REF!</definedName>
    <definedName name="_36T2_" hidden="1">{#N/A,#N/A,FALSE,"Tucson_2hdrs";#N/A,#N/A,FALSE,"Tucson_3hdrs";#N/A,#N/A,FALSE,"Tucson_4hdrs";#N/A,#N/A,FALSE,"Tucson_5hdrs";#N/A,#N/A,FALSE,"Tucson_6hrds";#N/A,#N/A,FALSE,"All Headers Cum Yield"}</definedName>
    <definedName name="_37v1_" hidden="1">{#N/A,#N/A,FALSE,"Tucson_2hdrs";#N/A,#N/A,FALSE,"Tucson_3hdrs";#N/A,#N/A,FALSE,"Tucson_4hdrs";#N/A,#N/A,FALSE,"Tucson_5hdrs";#N/A,#N/A,FALSE,"Tucson_6hrds";#N/A,#N/A,FALSE,"All Headers Cum Yield"}</definedName>
    <definedName name="_38__123Graph_XC04C_FF_L" hidden="1">#REF!</definedName>
    <definedName name="_38V2_" hidden="1">{#N/A,#N/A,FALSE,"Tucson_2hdrs";#N/A,#N/A,FALSE,"Tucson_3hdrs";#N/A,#N/A,FALSE,"Tucson_4hdrs";#N/A,#N/A,FALSE,"Tucson_5hdrs";#N/A,#N/A,FALSE,"Tucson_6hrds";#N/A,#N/A,FALSE,"All Headers Cum Yield"}</definedName>
    <definedName name="_39V3_" hidden="1">{#N/A,#N/A,FALSE,"Tucson_2hdrs";#N/A,#N/A,FALSE,"Tucson_3hdrs";#N/A,#N/A,FALSE,"Tucson_4hdrs";#N/A,#N/A,FALSE,"Tucson_5hdrs";#N/A,#N/A,FALSE,"Tucson_6hrds";#N/A,#N/A,FALSE,"All Headers Cum Yield"}</definedName>
    <definedName name="_3T24_" hidden="1">{#N/A,#N/A,TRUE,"NRE";#N/A,#N/A,TRUE,"Tooling";#N/A,#N/A,TRUE,"Sample";#N/A,#N/A,TRUE,"Fixtures";#N/A,#N/A,TRUE,"Agency";#N/A,#N/A,TRUE,"Personnel"}</definedName>
    <definedName name="_4" hidden="1">#REF!</definedName>
    <definedName name="_4__123Graph_AC04C_ALL_L2" hidden="1">#REF!</definedName>
    <definedName name="_4_123Grap" hidden="1">#REF!</definedName>
    <definedName name="_40__123Graph_XC04C_FF_T" hidden="1">#REF!</definedName>
    <definedName name="_40V4_" hidden="1">{#N/A,#N/A,FALSE,"Tucson_2hdrs";#N/A,#N/A,FALSE,"Tucson_3hdrs";#N/A,#N/A,FALSE,"Tucson_4hdrs";#N/A,#N/A,FALSE,"Tucson_5hdrs";#N/A,#N/A,FALSE,"Tucson_6hrds";#N/A,#N/A,FALSE,"All Headers Cum Yield"}</definedName>
    <definedName name="_42__123Graph_XC04C_FR_L1" hidden="1">#REF!</definedName>
    <definedName name="_42W47_" hidden="1">{"'A2 Product Specification'!$A$1:$J$157"}</definedName>
    <definedName name="_44__123Graph_XC04C_FR_L2" hidden="1">#REF!</definedName>
    <definedName name="_46__123Graph_XC04C_FR_T1" hidden="1">#REF!</definedName>
    <definedName name="_48__123Graph_XC04C_FR_T2" hidden="1">#REF!</definedName>
    <definedName name="_4T24_" hidden="1">{#N/A,#N/A,TRUE,"NRE";#N/A,#N/A,TRUE,"Tooling";#N/A,#N/A,TRUE,"Sample";#N/A,#N/A,TRUE,"Fixtures";#N/A,#N/A,TRUE,"Agency";#N/A,#N/A,TRUE,"Personnel"}</definedName>
    <definedName name="_4W47_" hidden="1">{"'A2 Product Specification'!$A$1:$J$157"}</definedName>
    <definedName name="_51___123Graph_Aｸﾞﾗﾌ_1" hidden="1">#REF!</definedName>
    <definedName name="_53___123Graph_Aｸﾞﾗﾌ_2" hidden="1">#REF!</definedName>
    <definedName name="_54___123Graph_Bｸﾞﾗﾌ_1" hidden="1">#REF!</definedName>
    <definedName name="_56___123Graph_Bｸﾞﾗﾌ_2" hidden="1">#REF!</definedName>
    <definedName name="_6__123Graph_AC04C_ALL_T1" hidden="1">#REF!</definedName>
    <definedName name="_8__123Graph_AC04C_ALL_T2" hidden="1">#REF!</definedName>
    <definedName name="_a">[1]bobudget!#REF!</definedName>
    <definedName name="_a_1">[1]bobudget!#REF!</definedName>
    <definedName name="_a_2">[3]bobudget!#REF!</definedName>
    <definedName name="_a_3">[3]bobudget!#REF!</definedName>
    <definedName name="_a_4">[1]bobudget!#REF!</definedName>
    <definedName name="_a12" hidden="1">{"'Monthly 1997'!$A$3:$S$89"}</definedName>
    <definedName name="_amy1" hidden="1">{#N/A,#N/A,FALSE,"Tucson_2hdrs";#N/A,#N/A,FALSE,"Tucson_3hdrs";#N/A,#N/A,FALSE,"Tucson_4hdrs";#N/A,#N/A,FALSE,"Tucson_5hdrs";#N/A,#N/A,FALSE,"Tucson_6hrds";#N/A,#N/A,FALSE,"All Headers Cum Yield"}</definedName>
    <definedName name="_b">[1]bobudget!#REF!</definedName>
    <definedName name="_b_1">[1]bobudget!#REF!</definedName>
    <definedName name="_b_2">[3]bobudget!#REF!</definedName>
    <definedName name="_b_3">[3]bobudget!#REF!</definedName>
    <definedName name="_b_4">[1]bobudget!#REF!</definedName>
    <definedName name="_c">[1]bobudget!#REF!</definedName>
    <definedName name="_c_1">[1]bobudget!#REF!</definedName>
    <definedName name="_c_2">[3]bobudget!#REF!</definedName>
    <definedName name="_c_3">[3]bobudget!#REF!</definedName>
    <definedName name="_c_4">[1]bobudget!#REF!</definedName>
    <definedName name="_DB777" hidden="1">{#N/A,#N/A,TRUE,"Y생산";#N/A,#N/A,TRUE,"Y판매";#N/A,#N/A,TRUE,"Y총물량";#N/A,#N/A,TRUE,"Y능력";#N/A,#N/A,TRUE,"YKD"}</definedName>
    <definedName name="_dcc1" hidden="1">{#N/A,#N/A,FALSE,"Tucson_2hdrs";#N/A,#N/A,FALSE,"Tucson_3hdrs";#N/A,#N/A,FALSE,"Tucson_4hdrs";#N/A,#N/A,FALSE,"Tucson_5hdrs";#N/A,#N/A,FALSE,"Tucson_6hrds";#N/A,#N/A,FALSE,"All Headers Cum Yield"}</definedName>
    <definedName name="_Dist_Bin" hidden="1">#REF!</definedName>
    <definedName name="_Dist_Values" hidden="1">#REF!</definedName>
    <definedName name="_FG1" hidden="1">{#N/A,#N/A,FALSE,"단축1";#N/A,#N/A,FALSE,"단축2";#N/A,#N/A,FALSE,"단축3";#N/A,#N/A,FALSE,"장축";#N/A,#N/A,FALSE,"4WD"}</definedName>
    <definedName name="_FIL04" hidden="1">#REF!</definedName>
    <definedName name="_Fill" localSheetId="8" hidden="1">[2]main!#REF!</definedName>
    <definedName name="_Fill" hidden="1">#REF!</definedName>
    <definedName name="_Fill_1">[2]main!#REF!</definedName>
    <definedName name="_Fill_2">[6]main!#REF!</definedName>
    <definedName name="_Fill_3">[6]main!#REF!</definedName>
    <definedName name="_Fill_4">[2]main!#REF!</definedName>
    <definedName name="_xlnm._FilterDatabase" localSheetId="0" hidden="1">'PQ Audit Checklist'!$B$3:$K$99</definedName>
    <definedName name="_xlnm._FilterDatabase" hidden="1">#REF!</definedName>
    <definedName name="_KC0253" hidden="1">{#N/A,#N/A,FALSE,"Tucson_2hdrs";#N/A,#N/A,FALSE,"Tucson_3hdrs";#N/A,#N/A,FALSE,"Tucson_4hdrs";#N/A,#N/A,FALSE,"Tucson_5hdrs";#N/A,#N/A,FALSE,"Tucson_6hrds";#N/A,#N/A,FALSE,"All Headers Cum Yield"}</definedName>
    <definedName name="_Key1" hidden="1">#REF!</definedName>
    <definedName name="_Key2" hidden="1">#REF!</definedName>
    <definedName name="_l">[2]main!#REF!</definedName>
    <definedName name="_l_1">[2]main!#REF!</definedName>
    <definedName name="_l_2">[6]main!#REF!</definedName>
    <definedName name="_l_3">[6]main!#REF!</definedName>
    <definedName name="_l_4">[2]main!#REF!</definedName>
    <definedName name="_LAB1" hidden="1">{#N/A,#N/A,FALSE,"Tucson_2hdrs";#N/A,#N/A,FALSE,"Tucson_3hdrs";#N/A,#N/A,FALSE,"Tucson_4hdrs";#N/A,#N/A,FALSE,"Tucson_5hdrs";#N/A,#N/A,FALSE,"Tucson_6hrds";#N/A,#N/A,FALSE,"All Headers Cum Yield"}</definedName>
    <definedName name="_LAB2" hidden="1">{#N/A,#N/A,FALSE,"Tucson_2hdrs";#N/A,#N/A,FALSE,"Tucson_3hdrs";#N/A,#N/A,FALSE,"Tucson_4hdrs";#N/A,#N/A,FALSE,"Tucson_5hdrs";#N/A,#N/A,FALSE,"Tucson_6hrds";#N/A,#N/A,FALSE,"All Headers Cum Yield"}</definedName>
    <definedName name="_LPS2" hidden="1">{#N/A,#N/A,FALSE,"단축1";#N/A,#N/A,FALSE,"단축2";#N/A,#N/A,FALSE,"단축3";#N/A,#N/A,FALSE,"장축";#N/A,#N/A,FALSE,"4WD"}</definedName>
    <definedName name="_m">NA()</definedName>
    <definedName name="_m_1">NA()</definedName>
    <definedName name="_MAT1">#REF!</definedName>
    <definedName name="_MAT1_1">#REF!</definedName>
    <definedName name="_MAT1_2">#REF!</definedName>
    <definedName name="_MAT1_3">#REF!</definedName>
    <definedName name="_MAT1_4">#REF!</definedName>
    <definedName name="_MAT2">#REF!</definedName>
    <definedName name="_MAT2_1">#REF!</definedName>
    <definedName name="_MAT2_2">#REF!</definedName>
    <definedName name="_MAT2_3">#REF!</definedName>
    <definedName name="_MAT2_4">#REF!</definedName>
    <definedName name="_MAT3">#REF!</definedName>
    <definedName name="_MatInverse_In" hidden="1">#REF!</definedName>
    <definedName name="_MatInverse_Out" hidden="1">#REF!</definedName>
    <definedName name="_Order1" hidden="1">255</definedName>
    <definedName name="_Order2" hidden="1">255</definedName>
    <definedName name="_p24500">#REF!</definedName>
    <definedName name="_p24500_1">#REF!</definedName>
    <definedName name="_p24500_2">#REF!</definedName>
    <definedName name="_p24500_3">#REF!</definedName>
    <definedName name="_p24500_4">#REF!</definedName>
    <definedName name="_P6" hidden="1">{"SUM ALL YR",#N/A,FALSE,"SUM ALL YR";"sum01",#N/A,FALSE,"SUM 01";"sumM2",#N/A,FALSE,"SUM M2";"sum02",#N/A,FALSE,"SUM 02";"sum03",#N/A,FALSE,"SUM 03";"sum04",#N/A,FALSE,"SUM 04";"sum05",#N/A,FALSE,"SUM 05"}</definedName>
    <definedName name="_Parse_Out" hidden="1">#REF!</definedName>
    <definedName name="_q">NA()</definedName>
    <definedName name="_q_1">NA()</definedName>
    <definedName name="_Regression_Int" hidden="1">1</definedName>
    <definedName name="_Regression_Out" hidden="1">#REF!</definedName>
    <definedName name="_Regression_X" hidden="1">#REF!</definedName>
    <definedName name="_Regression_Y" hidden="1">#REF!</definedName>
    <definedName name="_ROW2">[3]bobudget!#REF!</definedName>
    <definedName name="_Sort" hidden="1">#REF!</definedName>
    <definedName name="_SORT1" hidden="1">#REF!</definedName>
    <definedName name="_Table1_In1" hidden="1">#REF!</definedName>
    <definedName name="_Table1_Out" hidden="1">#REF!</definedName>
    <definedName name="_Table2_In1" hidden="1">#REF!</definedName>
    <definedName name="_Table2_In2" hidden="1">#REF!</definedName>
    <definedName name="_W47" hidden="1">{"'A2 Product Specification'!$A$1:$J$157"}</definedName>
    <definedName name="_wer" hidden="1">#REF!</definedName>
    <definedName name="_WIP1">#REF!</definedName>
    <definedName name="_WIP1_1">#REF!</definedName>
    <definedName name="_WIP1_2">#REF!</definedName>
    <definedName name="_WIP1_3">#REF!</definedName>
    <definedName name="_WIP1_4">#REF!</definedName>
    <definedName name="_WIP2">#REF!</definedName>
    <definedName name="_WIP2_1">#REF!</definedName>
    <definedName name="_WIP2_2">#REF!</definedName>
    <definedName name="_WIP2_3">#REF!</definedName>
    <definedName name="_WIP2_4">#REF!</definedName>
    <definedName name="a" localSheetId="8" hidden="1">{#N/A,#N/A,TRUE,"RIDE";#N/A,#N/A,TRUE,"STEERING";#N/A,#N/A,TRUE,"HANDLING";#N/A,#N/A,TRUE,"BRAKING"}</definedName>
    <definedName name="a_1" localSheetId="8">{#N/A,#N/A,TRUE,"RIDE";#N/A,#N/A,TRUE,"STEERING";#N/A,#N/A,TRUE,"HANDLING";#N/A,#N/A,TRUE,"BRAKING"}</definedName>
    <definedName name="a_10" localSheetId="8">{#N/A,#N/A,TRUE,"RIDE";#N/A,#N/A,TRUE,"STEERING";#N/A,#N/A,TRUE,"HANDLING";#N/A,#N/A,TRUE,"BRAKING"}</definedName>
    <definedName name="a_11" localSheetId="8">{#N/A,#N/A,TRUE,"RIDE";#N/A,#N/A,TRUE,"STEERING";#N/A,#N/A,TRUE,"HANDLING";#N/A,#N/A,TRUE,"BRAKING"}</definedName>
    <definedName name="a_12" localSheetId="8">{#N/A,#N/A,TRUE,"RIDE";#N/A,#N/A,TRUE,"STEERING";#N/A,#N/A,TRUE,"HANDLING";#N/A,#N/A,TRUE,"BRAKING"}</definedName>
    <definedName name="a_13" localSheetId="8">{#N/A,#N/A,TRUE,"RIDE";#N/A,#N/A,TRUE,"STEERING";#N/A,#N/A,TRUE,"HANDLING";#N/A,#N/A,TRUE,"BRAKING"}</definedName>
    <definedName name="a_2" localSheetId="8">{#N/A,#N/A,TRUE,"RIDE";#N/A,#N/A,TRUE,"STEERING";#N/A,#N/A,TRUE,"HANDLING";#N/A,#N/A,TRUE,"BRAKING"}</definedName>
    <definedName name="a_3" localSheetId="8">{#N/A,#N/A,TRUE,"RIDE";#N/A,#N/A,TRUE,"STEERING";#N/A,#N/A,TRUE,"HANDLING";#N/A,#N/A,TRUE,"BRAKING"}</definedName>
    <definedName name="a_4" localSheetId="8">{#N/A,#N/A,TRUE,"RIDE";#N/A,#N/A,TRUE,"STEERING";#N/A,#N/A,TRUE,"HANDLING";#N/A,#N/A,TRUE,"BRAKING"}</definedName>
    <definedName name="a_5" localSheetId="8">{#N/A,#N/A,TRUE,"RIDE";#N/A,#N/A,TRUE,"STEERING";#N/A,#N/A,TRUE,"HANDLING";#N/A,#N/A,TRUE,"BRAKING"}</definedName>
    <definedName name="a_6" localSheetId="8">{#N/A,#N/A,TRUE,"RIDE";#N/A,#N/A,TRUE,"STEERING";#N/A,#N/A,TRUE,"HANDLING";#N/A,#N/A,TRUE,"BRAKING"}</definedName>
    <definedName name="a_7" localSheetId="8">{#N/A,#N/A,TRUE,"RIDE";#N/A,#N/A,TRUE,"STEERING";#N/A,#N/A,TRUE,"HANDLING";#N/A,#N/A,TRUE,"BRAKING"}</definedName>
    <definedName name="a_8" localSheetId="8">{#N/A,#N/A,TRUE,"RIDE";#N/A,#N/A,TRUE,"STEERING";#N/A,#N/A,TRUE,"HANDLING";#N/A,#N/A,TRUE,"BRAKING"}</definedName>
    <definedName name="a_9" localSheetId="8">{#N/A,#N/A,TRUE,"RIDE";#N/A,#N/A,TRUE,"STEERING";#N/A,#N/A,TRUE,"HANDLING";#N/A,#N/A,TRUE,"BRAKING"}</definedName>
    <definedName name="A0">#REF!</definedName>
    <definedName name="A0_1">#REF!</definedName>
    <definedName name="A0_2">#REF!</definedName>
    <definedName name="A0_3">#REF!</definedName>
    <definedName name="A0_4">#REF!</definedName>
    <definedName name="aa" localSheetId="8" hidden="1">{#N/A,#N/A,TRUE,"RIDE";#N/A,#N/A,TRUE,"STEERING";#N/A,#N/A,TRUE,"HANDLING";#N/A,#N/A,TRUE,"BRAKING"}</definedName>
    <definedName name="aaaa" localSheetId="8" hidden="1">{#N/A,#N/A,TRUE,"RIDE";#N/A,#N/A,TRUE,"STEERING";#N/A,#N/A,TRUE,"HANDLING";#N/A,#N/A,TRUE,"BRAKING"}</definedName>
    <definedName name="aaaa" hidden="1">#REF!</definedName>
    <definedName name="aaaaa" hidden="1">{"RES-2000",#N/A,FALSE,"BL2000";"A1-2000",#N/A,FALSE,"BL2000";"A2-2000",#N/A,FALSE,"BL2000"}</definedName>
    <definedName name="aaaaaa" localSheetId="8">#REF!</definedName>
    <definedName name="aaaaaa" hidden="1">{"RES-2002",#N/A,FALSE,"BL2000";"A1-2002",#N/A,FALSE,"BL2000";"A2-2002",#N/A,FALSE,"BL2000"}</definedName>
    <definedName name="aaaaaa_1">#REF!</definedName>
    <definedName name="aaaaaa_2">#REF!</definedName>
    <definedName name="aaaaaa_3">#REF!</definedName>
    <definedName name="aaaaaa_4">#REF!</definedName>
    <definedName name="aaaaaaa" hidden="1">{"B10-2000",#N/A,FALSE,"BL2000"}</definedName>
    <definedName name="aaaaaaaaaa" hidden="1">{"RES-2002",#N/A,FALSE,"BL2000";"A1-2002",#N/A,FALSE,"BL2000";"A2-2002",#N/A,FALSE,"BL2000"}</definedName>
    <definedName name="aaaaaaaaaaaa" hidden="1">{"Ana1",#N/A,FALSE,"AnalisisA";"Ana2",#N/A,FALSE,"AnalisisA";"Ana3",#N/A,FALSE,"AnalisisA"}</definedName>
    <definedName name="aaaaaaaaaaaaa" hidden="1">{"COMNUS2000",#N/A,FALSE,"BL2000"}</definedName>
    <definedName name="aaaaaaaaaaaaaaa" hidden="1">{"CTO ACUMULADO",#N/A,FALSE,"BASE ANEXOS";"VAR ACUMULADAS",#N/A,FALSE,"BASE ANEXOS"}</definedName>
    <definedName name="aaaaaaaaaaaaaaaaa" hidden="1">{"AnaM1",#N/A,FALSE,"AnalisisM";"AnaM2",#N/A,FALSE,"AnalisisM";"AnaM3",#N/A,FALSE,"AnalisisM"}</definedName>
    <definedName name="aaaaaaaaaaaaaaaaaaaaaaaa" hidden="1">{"COMJPN2000",#N/A,FALSE,"BL2000"}</definedName>
    <definedName name="Aas" hidden="1">{#N/A,#N/A,FALSE,"을지 (4)";#N/A,#N/A,FALSE,"을지 (5)";#N/A,#N/A,FALSE,"을지 (6)"}</definedName>
    <definedName name="AASDGASGASJKGHSDLKJG" hidden="1">{#N/A,#N/A,FALSE,"Tucson_2hdrs";#N/A,#N/A,FALSE,"Tucson_3hdrs";#N/A,#N/A,FALSE,"Tucson_4hdrs";#N/A,#N/A,FALSE,"Tucson_5hdrs";#N/A,#N/A,FALSE,"Tucson_6hrds";#N/A,#N/A,FALSE,"All Headers Cum Yield"}</definedName>
    <definedName name="AASWWEE">#REF!</definedName>
    <definedName name="ABC" hidden="1">{"INCPRE2000",#N/A,FALSE,"BL2000"}</definedName>
    <definedName name="ABCD" hidden="1">{"PT2000",#N/A,FALSE,"BL2000"}</definedName>
    <definedName name="ABDD" hidden="1">{#N/A,#N/A,FALSE,"단축1";#N/A,#N/A,FALSE,"단축2";#N/A,#N/A,FALSE,"단축3";#N/A,#N/A,FALSE,"장축";#N/A,#N/A,FALSE,"4WD"}</definedName>
    <definedName name="AbsMenData">#REF!</definedName>
    <definedName name="AbsMenData_1">#REF!</definedName>
    <definedName name="AbsMenData_2">#REF!</definedName>
    <definedName name="AbsMenData_3">#REF!</definedName>
    <definedName name="AbsMenData_4">#REF!</definedName>
    <definedName name="Access_Button" hidden="1">"機能ｺｰﾄﾞ一覧_BLK→機能_List"</definedName>
    <definedName name="Access_Button1" hidden="1">"機能ｺｰﾄﾞ一覧_BLK→機能_List"</definedName>
    <definedName name="Access_Button2" hidden="1">"機能ｺｰﾄﾞ一覧_BLK→機能_List"</definedName>
    <definedName name="Access_Button3" hidden="1">"카드발송_카드발송_List1"</definedName>
    <definedName name="Access_Button4" hidden="1">"업체현황_카드발송_List"</definedName>
    <definedName name="AccessDatabase" hidden="1">"D:\My Documents\Personal Documents\yamashita\NRP\ベンチマーク\PF10A000new3.mdb"</definedName>
    <definedName name="Activity">'[7]Ellesmere Port (08)'!$L$8</definedName>
    <definedName name="AD" hidden="1">{#N/A,#N/A,FALSE,"을지 (4)";#N/A,#N/A,FALSE,"을지 (5)";#N/A,#N/A,FALSE,"을지 (6)"}</definedName>
    <definedName name="ADFGQERVCXQWERFDCXZEW" hidden="1">{#N/A,#N/A,FALSE,"Tucson_2hdrs";#N/A,#N/A,FALSE,"Tucson_3hdrs";#N/A,#N/A,FALSE,"Tucson_4hdrs";#N/A,#N/A,FALSE,"Tucson_5hdrs";#N/A,#N/A,FALSE,"Tucson_6hrds";#N/A,#N/A,FALSE,"All Headers Cum Yield"}</definedName>
    <definedName name="ads" hidden="1">{#N/A,#N/A,FALSE,"Tucson_2hdrs";#N/A,#N/A,FALSE,"Tucson_3hdrs";#N/A,#N/A,FALSE,"Tucson_4hdrs";#N/A,#N/A,FALSE,"Tucson_5hdrs";#N/A,#N/A,FALSE,"Tucson_6hrds";#N/A,#N/A,FALSE,"All Headers Cum Yield"}</definedName>
    <definedName name="ADSDF" hidden="1">{#N/A,#N/A,TRUE,"Y생산";#N/A,#N/A,TRUE,"Y판매";#N/A,#N/A,TRUE,"Y총물량";#N/A,#N/A,TRUE,"Y능력";#N/A,#N/A,TRUE,"YKD"}</definedName>
    <definedName name="All30SE" localSheetId="8">(#REF!,#REF!,#REF!,#REF!,#REF!,#REF!,#REF!,#REF!,#REF!,#REF!,#REF!)</definedName>
    <definedName name="All30SE">(#REF!,#REF!,#REF!,#REF!,#REF!,#REF!,#REF!,#REF!,#REF!,#REF!,#REF!)</definedName>
    <definedName name="All30SE_1" localSheetId="8">(#REF!,#REF!,#REF!,#REF!,#REF!,#REF!,#REF!,#REF!,#REF!,#REF!,#REF!)</definedName>
    <definedName name="All30SE_1">(#REF!,#REF!,#REF!,#REF!,#REF!,#REF!,#REF!,#REF!,#REF!,#REF!,#REF!)</definedName>
    <definedName name="All30SE_2" localSheetId="8">(#REF!,#REF!,#REF!,#REF!,#REF!,#REF!,#REF!,#REF!,#REF!,#REF!,#REF!)</definedName>
    <definedName name="All30SE_2">(#REF!,#REF!,#REF!,#REF!,#REF!,#REF!,#REF!,#REF!,#REF!,#REF!,#REF!)</definedName>
    <definedName name="All30SE_3">(#REF!,#REF!,#REF!,#REF!,#REF!,#REF!,#REF!,#REF!,#REF!,#REF!,#REF!)</definedName>
    <definedName name="All30SE_4">(#REF!,#REF!,#REF!,#REF!,#REF!,#REF!,#REF!,#REF!,#REF!,#REF!,#REF!)</definedName>
    <definedName name="All30Sport">(#REF!,#REF!,#REF!,#REF!,#REF!,#REF!,#REF!,#REF!,#REF!,#REF!,#REF!)</definedName>
    <definedName name="All30Sport_1">(#REF!,#REF!,#REF!,#REF!,#REF!,#REF!,#REF!,#REF!,#REF!,#REF!,#REF!)</definedName>
    <definedName name="All30Sport_2">(#REF!,#REF!,#REF!,#REF!,#REF!,#REF!,#REF!,#REF!,#REF!,#REF!,#REF!)</definedName>
    <definedName name="All30Sport_3">(#REF!,#REF!,#REF!,#REF!,#REF!,#REF!,#REF!,#REF!,#REF!,#REF!,#REF!)</definedName>
    <definedName name="All30Sport_4">(#REF!,#REF!,#REF!,#REF!,#REF!,#REF!,#REF!,#REF!,#REF!,#REF!,#REF!)</definedName>
    <definedName name="All35E" localSheetId="8">(#REF!,#REF!,#REF!,#REF!,#REF!,#REF!,#REF!,#REF!,#REF!,#REF!,#REF!,#REF!,#REF!)</definedName>
    <definedName name="All35E">(#REF!,#REF!,#REF!,#REF!,#REF!,#REF!,#REF!,#REF!,#REF!,#REF!,#REF!,#REF!,#REF!)</definedName>
    <definedName name="All35E_1" localSheetId="8">(#REF!,#REF!,#REF!,#REF!,#REF!,#REF!,#REF!,#REF!,#REF!,#REF!,#REF!,#REF!,#REF!)</definedName>
    <definedName name="All35E_1">(#REF!,#REF!,#REF!,#REF!,#REF!,#REF!,#REF!,#REF!,#REF!,#REF!,#REF!,#REF!,#REF!)</definedName>
    <definedName name="All35E_2" localSheetId="8">(#REF!,#REF!,#REF!,#REF!,#REF!,#REF!,#REF!,#REF!,#REF!,#REF!,#REF!,#REF!,#REF!)</definedName>
    <definedName name="All35E_2">(#REF!,#REF!,#REF!,#REF!,#REF!,#REF!,#REF!,#REF!,#REF!,#REF!,#REF!,#REF!,#REF!)</definedName>
    <definedName name="All35E_3">(#REF!,#REF!,#REF!,#REF!,#REF!,#REF!,#REF!,#REF!,#REF!,#REF!,#REF!,#REF!,#REF!)</definedName>
    <definedName name="All35E_4">(#REF!,#REF!,#REF!,#REF!,#REF!,#REF!,#REF!,#REF!,#REF!,#REF!,#REF!,#REF!,#REF!)</definedName>
    <definedName name="All35SE">(#REF!,#REF!,#REF!,#REF!,#REF!,#REF!,#REF!,#REF!,#REF!,#REF!,#REF!)</definedName>
    <definedName name="All35SE_1">(#REF!,#REF!,#REF!,#REF!,#REF!,#REF!,#REF!,#REF!,#REF!,#REF!,#REF!)</definedName>
    <definedName name="All35SE_2">(#REF!,#REF!,#REF!,#REF!,#REF!,#REF!,#REF!,#REF!,#REF!,#REF!,#REF!)</definedName>
    <definedName name="All35SE_3">(#REF!,#REF!,#REF!,#REF!,#REF!,#REF!,#REF!,#REF!,#REF!,#REF!,#REF!)</definedName>
    <definedName name="All35SE_4">(#REF!,#REF!,#REF!,#REF!,#REF!,#REF!,#REF!,#REF!,#REF!,#REF!,#REF!)</definedName>
    <definedName name="All35Sport">(#REF!,#REF!,#REF!,#REF!,#REF!,#REF!,#REF!,#REF!,#REF!,#REF!,#REF!,#REF!,#REF!)</definedName>
    <definedName name="All35Sport_1">(#REF!,#REF!,#REF!,#REF!,#REF!,#REF!,#REF!,#REF!,#REF!,#REF!,#REF!,#REF!,#REF!)</definedName>
    <definedName name="All35Sport_2">(#REF!,#REF!,#REF!,#REF!,#REF!,#REF!,#REF!,#REF!,#REF!,#REF!,#REF!,#REF!,#REF!)</definedName>
    <definedName name="All35Sport_3">(#REF!,#REF!,#REF!,#REF!,#REF!,#REF!,#REF!,#REF!,#REF!,#REF!,#REF!,#REF!,#REF!)</definedName>
    <definedName name="All35Sport_4">(#REF!,#REF!,#REF!,#REF!,#REF!,#REF!,#REF!,#REF!,#REF!,#REF!,#REF!,#REF!,#REF!)</definedName>
    <definedName name="All42SE">(#REF!,#REF!,#REF!,#REF!,#REF!,#REF!,#REF!,#REF!,#REF!,#REF!,#REF!)</definedName>
    <definedName name="All42SE_1">(#REF!,#REF!,#REF!,#REF!,#REF!,#REF!,#REF!,#REF!,#REF!,#REF!,#REF!)</definedName>
    <definedName name="All42SE_2">(#REF!,#REF!,#REF!,#REF!,#REF!,#REF!,#REF!,#REF!,#REF!,#REF!,#REF!)</definedName>
    <definedName name="All42SE_3">(#REF!,#REF!,#REF!,#REF!,#REF!,#REF!,#REF!,#REF!,#REF!,#REF!,#REF!)</definedName>
    <definedName name="All42SE_4">(#REF!,#REF!,#REF!,#REF!,#REF!,#REF!,#REF!,#REF!,#REF!,#REF!,#REF!)</definedName>
    <definedName name="All42Sov">(#REF!,#REF!,#REF!,#REF!,#REF!,#REF!,#REF!,#REF!,#REF!,#REF!,#REF!)</definedName>
    <definedName name="All42Sov_1">(#REF!,#REF!,#REF!,#REF!,#REF!,#REF!,#REF!,#REF!,#REF!,#REF!,#REF!)</definedName>
    <definedName name="All42Sov_2">(#REF!,#REF!,#REF!,#REF!,#REF!,#REF!,#REF!,#REF!,#REF!,#REF!,#REF!)</definedName>
    <definedName name="All42Sov_3">(#REF!,#REF!,#REF!,#REF!,#REF!,#REF!,#REF!,#REF!,#REF!,#REF!,#REF!)</definedName>
    <definedName name="All42Sov_4">(#REF!,#REF!,#REF!,#REF!,#REF!,#REF!,#REF!,#REF!,#REF!,#REF!,#REF!)</definedName>
    <definedName name="All42Sport">(#REF!,#REF!,#REF!,#REF!,#REF!,#REF!,#REF!,#REF!,#REF!,#REF!,#REF!,#REF!)</definedName>
    <definedName name="All42Sport_1">(#REF!,#REF!,#REF!,#REF!,#REF!,#REF!,#REF!,#REF!,#REF!,#REF!,#REF!,#REF!)</definedName>
    <definedName name="All42Sport_2">(#REF!,#REF!,#REF!,#REF!,#REF!,#REF!,#REF!,#REF!,#REF!,#REF!,#REF!,#REF!)</definedName>
    <definedName name="All42Sport_3">(#REF!,#REF!,#REF!,#REF!,#REF!,#REF!,#REF!,#REF!,#REF!,#REF!,#REF!,#REF!)</definedName>
    <definedName name="All42Sport_4">(#REF!,#REF!,#REF!,#REF!,#REF!,#REF!,#REF!,#REF!,#REF!,#REF!,#REF!,#REF!)</definedName>
    <definedName name="AllData">#REF!</definedName>
    <definedName name="AllData_1">#REF!</definedName>
    <definedName name="AllData_2">#REF!</definedName>
    <definedName name="AllData_3">#REF!</definedName>
    <definedName name="AllData_4">#REF!</definedName>
    <definedName name="AllSCLimo">NA()</definedName>
    <definedName name="AllSCLimo_1">NA()</definedName>
    <definedName name="AllSCLimo_2">NA()</definedName>
    <definedName name="AllSCLimo_3">NA()</definedName>
    <definedName name="AllSCLimo_4">(#REF!,#REF!,#REF!,#REF!,#REF!,#REF!,#REF!,#REF!,#REF!,#REF!,#REF!,#REF!)</definedName>
    <definedName name="AllXJR">(#REF!,#REF!,#REF!,#REF!,#REF!,#REF!,#REF!,#REF!,#REF!,#REF!,#REF!,#REF!)</definedName>
    <definedName name="AllXJR_1">(#REF!,#REF!,#REF!,#REF!,#REF!,#REF!,#REF!,#REF!,#REF!,#REF!,#REF!,#REF!)</definedName>
    <definedName name="AllXJR_2">(#REF!,#REF!,#REF!,#REF!,#REF!,#REF!,#REF!,#REF!,#REF!,#REF!,#REF!,#REF!)</definedName>
    <definedName name="AllXJR_3">(#REF!,#REF!,#REF!,#REF!,#REF!,#REF!,#REF!,#REF!,#REF!,#REF!,#REF!,#REF!)</definedName>
    <definedName name="AllXJR_4">(#REF!,#REF!,#REF!,#REF!,#REF!,#REF!,#REF!,#REF!,#REF!,#REF!,#REF!,#REF!)</definedName>
    <definedName name="amane" localSheetId="8" hidden="1">{#N/A,#N/A,TRUE,"RIDE";#N/A,#N/A,TRUE,"STEERING";#N/A,#N/A,TRUE,"HANDLING";#N/A,#N/A,TRUE,"BRAKING"}</definedName>
    <definedName name="amane_1" localSheetId="8">{#N/A,#N/A,TRUE,"RIDE";#N/A,#N/A,TRUE,"STEERING";#N/A,#N/A,TRUE,"HANDLING";#N/A,#N/A,TRUE,"BRAKING"}</definedName>
    <definedName name="amane_10" localSheetId="8">{#N/A,#N/A,TRUE,"RIDE";#N/A,#N/A,TRUE,"STEERING";#N/A,#N/A,TRUE,"HANDLING";#N/A,#N/A,TRUE,"BRAKING"}</definedName>
    <definedName name="amane_11" localSheetId="8">{#N/A,#N/A,TRUE,"RIDE";#N/A,#N/A,TRUE,"STEERING";#N/A,#N/A,TRUE,"HANDLING";#N/A,#N/A,TRUE,"BRAKING"}</definedName>
    <definedName name="amane_12" localSheetId="8">{#N/A,#N/A,TRUE,"RIDE";#N/A,#N/A,TRUE,"STEERING";#N/A,#N/A,TRUE,"HANDLING";#N/A,#N/A,TRUE,"BRAKING"}</definedName>
    <definedName name="amane_13" localSheetId="8">{#N/A,#N/A,TRUE,"RIDE";#N/A,#N/A,TRUE,"STEERING";#N/A,#N/A,TRUE,"HANDLING";#N/A,#N/A,TRUE,"BRAKING"}</definedName>
    <definedName name="amane_2" localSheetId="8">{#N/A,#N/A,TRUE,"RIDE";#N/A,#N/A,TRUE,"STEERING";#N/A,#N/A,TRUE,"HANDLING";#N/A,#N/A,TRUE,"BRAKING"}</definedName>
    <definedName name="amane_3" localSheetId="8">{#N/A,#N/A,TRUE,"RIDE";#N/A,#N/A,TRUE,"STEERING";#N/A,#N/A,TRUE,"HANDLING";#N/A,#N/A,TRUE,"BRAKING"}</definedName>
    <definedName name="amane_4" localSheetId="8">{#N/A,#N/A,TRUE,"RIDE";#N/A,#N/A,TRUE,"STEERING";#N/A,#N/A,TRUE,"HANDLING";#N/A,#N/A,TRUE,"BRAKING"}</definedName>
    <definedName name="amane_5" localSheetId="8">{#N/A,#N/A,TRUE,"RIDE";#N/A,#N/A,TRUE,"STEERING";#N/A,#N/A,TRUE,"HANDLING";#N/A,#N/A,TRUE,"BRAKING"}</definedName>
    <definedName name="amane_6" localSheetId="8">{#N/A,#N/A,TRUE,"RIDE";#N/A,#N/A,TRUE,"STEERING";#N/A,#N/A,TRUE,"HANDLING";#N/A,#N/A,TRUE,"BRAKING"}</definedName>
    <definedName name="amane_7" localSheetId="8">{#N/A,#N/A,TRUE,"RIDE";#N/A,#N/A,TRUE,"STEERING";#N/A,#N/A,TRUE,"HANDLING";#N/A,#N/A,TRUE,"BRAKING"}</definedName>
    <definedName name="amane_8" localSheetId="8">{#N/A,#N/A,TRUE,"RIDE";#N/A,#N/A,TRUE,"STEERING";#N/A,#N/A,TRUE,"HANDLING";#N/A,#N/A,TRUE,"BRAKING"}</definedName>
    <definedName name="amane_9" localSheetId="8">{#N/A,#N/A,TRUE,"RIDE";#N/A,#N/A,TRUE,"STEERING";#N/A,#N/A,TRUE,"HANDLING";#N/A,#N/A,TRUE,"BRAKING"}</definedName>
    <definedName name="AMHPerEqUnitData">#REF!</definedName>
    <definedName name="AMHPerEqUnitData_1">#REF!</definedName>
    <definedName name="AMHPerEqUnitData_2">#REF!</definedName>
    <definedName name="AMHPerEqUnitData_3">#REF!</definedName>
    <definedName name="AMHPerEqUnitData_4">#REF!</definedName>
    <definedName name="AMY" hidden="1">{#N/A,#N/A,FALSE,"Tucson_2hdrs";#N/A,#N/A,FALSE,"Tucson_3hdrs";#N/A,#N/A,FALSE,"Tucson_4hdrs";#N/A,#N/A,FALSE,"Tucson_5hdrs";#N/A,#N/A,FALSE,"Tucson_6hrds";#N/A,#N/A,FALSE,"All Headers Cum Yield"}</definedName>
    <definedName name="Analysis" hidden="1">{"'Memo'!$A$1:$M$27"}</definedName>
    <definedName name="Apogee_C">#REF!</definedName>
    <definedName name="Apogee_C_1">#REF!</definedName>
    <definedName name="Apogee_C_2">#REF!</definedName>
    <definedName name="Apogee_C_3">#REF!</definedName>
    <definedName name="Apogee_C_4">#REF!</definedName>
    <definedName name="Apogee_DerivType">"Quick"</definedName>
    <definedName name="Apogee_G">#REF!</definedName>
    <definedName name="Apogee_G_1">#REF!</definedName>
    <definedName name="Apogee_G_2">#REF!</definedName>
    <definedName name="Apogee_G_3">#REF!</definedName>
    <definedName name="Apogee_G_4">#REF!</definedName>
    <definedName name="Apogee_GenSize">100</definedName>
    <definedName name="Apogee_MaxGens">20</definedName>
    <definedName name="Apogee_Precision">0.1</definedName>
    <definedName name="Apogee_StatsType">"1st Order Sensitivity Analysis"</definedName>
    <definedName name="Apogee_StoreYs">TRUE</definedName>
    <definedName name="Apogee_Version">1.01</definedName>
    <definedName name="Apogee_X">#REF!</definedName>
    <definedName name="Apogee_X_1">#REF!</definedName>
    <definedName name="Apogee_X_2">#REF!</definedName>
    <definedName name="Apogee_X_3">#REF!</definedName>
    <definedName name="Apogee_X_4">#REF!</definedName>
    <definedName name="Apogee_Y">#REF!</definedName>
    <definedName name="Apogee_Y_1">#REF!</definedName>
    <definedName name="Apogee_Y_2">#REF!</definedName>
    <definedName name="Apogee_Y_3">#REF!</definedName>
    <definedName name="Apogee_Y_4">#REF!</definedName>
    <definedName name="AS2DocOpenMode" hidden="1">"AS2DocumentEdit"</definedName>
    <definedName name="asaa">[6]main!#REF!</definedName>
    <definedName name="asaa_1">[6]main!#REF!</definedName>
    <definedName name="asaa_2">[6]main!#REF!</definedName>
    <definedName name="asaa_3">[6]main!#REF!</definedName>
    <definedName name="asaa_4">[6]main!#REF!</definedName>
    <definedName name="ASDD">#REF!</definedName>
    <definedName name="ASDDDDF">#REF!</definedName>
    <definedName name="asdf" hidden="1">{"'Memo'!$A$1:$M$27"}</definedName>
    <definedName name="asdlasdkasdasdjkasd" hidden="1">{#N/A,#N/A,FALSE,"Tucson_2hdrs";#N/A,#N/A,FALSE,"Tucson_3hdrs";#N/A,#N/A,FALSE,"Tucson_4hdrs";#N/A,#N/A,FALSE,"Tucson_5hdrs";#N/A,#N/A,FALSE,"Tucson_6hrds";#N/A,#N/A,FALSE,"All Headers Cum Yield"}</definedName>
    <definedName name="ASE" hidden="1">{#N/A,#N/A,FALSE,"초도품";#N/A,#N/A,FALSE,"초도품 (2)";#N/A,#N/A,FALSE,"초도품 (3)";#N/A,#N/A,FALSE,"초도품 (4)";#N/A,#N/A,FALSE,"초도품 (5)";#N/A,#N/A,FALSE,"초도품 (6)"}</definedName>
    <definedName name="ASR" hidden="1">{"SUM GER",#N/A,FALSE,"SUM GER";"SUM FRA",#N/A,FALSE,"SUM FRA";"SUM ITA",#N/A,FALSE,"SUM ITA";"SUM SPA",#N/A,FALSE,"SUM SPA";"SUM EGB",#N/A,FALSE,"SUM EGB";"SUM IND",#N/A,FALSE,"SUM IND"}</definedName>
    <definedName name="ASS" hidden="1">{#N/A,#N/A,FALSE,"을지 (4)";#N/A,#N/A,FALSE,"을지 (5)";#N/A,#N/A,FALSE,"을지 (6)"}</definedName>
    <definedName name="Attachment" hidden="1">{"RES-2002",#N/A,FALSE,"BL2000";"A1-2002",#N/A,FALSE,"BL2000";"A2-2002",#N/A,FALSE,"BL2000"}</definedName>
    <definedName name="AUDIT">#REF!</definedName>
    <definedName name="AUDIT_1">#REF!</definedName>
    <definedName name="AUDIT_2">#REF!</definedName>
    <definedName name="AUDIT_3">#REF!</definedName>
    <definedName name="AUDIT_4">#REF!</definedName>
    <definedName name="auto">#REF!</definedName>
    <definedName name="auto_1">#REF!</definedName>
    <definedName name="auto_2">#REF!</definedName>
    <definedName name="auto_3">#REF!</definedName>
    <definedName name="auto_4">#REF!</definedName>
    <definedName name="AWE" hidden="1">{#N/A,#N/A,FALSE,"초도품";#N/A,#N/A,FALSE,"초도품 (2)";#N/A,#N/A,FALSE,"초도품 (3)";#N/A,#N/A,FALSE,"초도품 (4)";#N/A,#N/A,FALSE,"초도품 (5)";#N/A,#N/A,FALSE,"초도품 (6)"}</definedName>
    <definedName name="AXD" hidden="1">{#N/A,#N/A,FALSE,"초도품";#N/A,#N/A,FALSE,"초도품 (2)";#N/A,#N/A,FALSE,"초도품 (3)";#N/A,#N/A,FALSE,"초도품 (4)";#N/A,#N/A,FALSE,"초도품 (5)";#N/A,#N/A,FALSE,"초도품 (6)"}</definedName>
    <definedName name="azazaz" hidden="1">{#N/A,#N/A,TRUE,"Y생산";#N/A,#N/A,TRUE,"Y판매";#N/A,#N/A,TRUE,"Y총물량";#N/A,#N/A,TRUE,"Y능력";#N/A,#N/A,TRUE,"YKD"}</definedName>
    <definedName name="base_unit_현재" hidden="1">{#N/A,#N/A,TRUE,"NRE";#N/A,#N/A,TRUE,"Tooling";#N/A,#N/A,TRUE,"Sample";#N/A,#N/A,TRUE,"Fixtures";#N/A,#N/A,TRUE,"Agency";#N/A,#N/A,TRUE,"Personnel"}</definedName>
    <definedName name="bb" hidden="1">{"RES-2001",#N/A,FALSE,"BL2000";"A1-2001",#N/A,FALSE,"BL2000";"A2-2001",#N/A,FALSE,"BL2000"}</definedName>
    <definedName name="bbbb" hidden="1">{#N/A,#N/A,FALSE,"Tucson_2hdrs";#N/A,#N/A,FALSE,"Tucson_3hdrs";#N/A,#N/A,FALSE,"Tucson_4hdrs";#N/A,#N/A,FALSE,"Tucson_5hdrs";#N/A,#N/A,FALSE,"Tucson_6hrds";#N/A,#N/A,FALSE,"All Headers Cum Yield"}</definedName>
    <definedName name="bbbbbbbbbbbbbb" hidden="1">{"RES-2000",#N/A,FALSE,"BL2000";"A1-2000",#N/A,FALSE,"BL2000";"A2-2000",#N/A,FALSE,"BL2000"}</definedName>
    <definedName name="Bdia_ref" localSheetId="8" hidden="1">{#N/A,#N/A,TRUE,"RIDE";#N/A,#N/A,TRUE,"STEERING";#N/A,#N/A,TRUE,"HANDLING";#N/A,#N/A,TRUE,"BRAKING"}</definedName>
    <definedName name="bld_Date">36179.6291435185</definedName>
    <definedName name="bld_Number">41</definedName>
    <definedName name="BOR_ROW2">[2]main!#REF!</definedName>
    <definedName name="BOR_ROW2_1">[2]main!#REF!</definedName>
    <definedName name="BOR_ROW2_2">[6]main!#REF!</definedName>
    <definedName name="BOR_ROW2_3">[6]main!#REF!</definedName>
    <definedName name="BOR_ROW2_4">[2]main!#REF!</definedName>
    <definedName name="caa" localSheetId="8" hidden="1">{#N/A,#N/A,TRUE,"RIDE";#N/A,#N/A,TRUE,"STEERING";#N/A,#N/A,TRUE,"HANDLING";#N/A,#N/A,TRUE,"BRAKING"}</definedName>
    <definedName name="CAM" localSheetId="8" hidden="1">{#N/A,#N/A,TRUE,"RIDE";#N/A,#N/A,TRUE,"STEERING";#N/A,#N/A,TRUE,"HANDLING";#N/A,#N/A,TRUE,"BRAKING"}</definedName>
    <definedName name="CAM_1" localSheetId="8">{#N/A,#N/A,TRUE,"RIDE";#N/A,#N/A,TRUE,"STEERING";#N/A,#N/A,TRUE,"HANDLING";#N/A,#N/A,TRUE,"BRAKING"}</definedName>
    <definedName name="CAM_10" localSheetId="8">{#N/A,#N/A,TRUE,"RIDE";#N/A,#N/A,TRUE,"STEERING";#N/A,#N/A,TRUE,"HANDLING";#N/A,#N/A,TRUE,"BRAKING"}</definedName>
    <definedName name="CAM_11" localSheetId="8">{#N/A,#N/A,TRUE,"RIDE";#N/A,#N/A,TRUE,"STEERING";#N/A,#N/A,TRUE,"HANDLING";#N/A,#N/A,TRUE,"BRAKING"}</definedName>
    <definedName name="CAM_12" localSheetId="8">{#N/A,#N/A,TRUE,"RIDE";#N/A,#N/A,TRUE,"STEERING";#N/A,#N/A,TRUE,"HANDLING";#N/A,#N/A,TRUE,"BRAKING"}</definedName>
    <definedName name="CAM_13" localSheetId="8">{#N/A,#N/A,TRUE,"RIDE";#N/A,#N/A,TRUE,"STEERING";#N/A,#N/A,TRUE,"HANDLING";#N/A,#N/A,TRUE,"BRAKING"}</definedName>
    <definedName name="CAM_2" localSheetId="8">{#N/A,#N/A,TRUE,"RIDE";#N/A,#N/A,TRUE,"STEERING";#N/A,#N/A,TRUE,"HANDLING";#N/A,#N/A,TRUE,"BRAKING"}</definedName>
    <definedName name="CAM_3" localSheetId="8">{#N/A,#N/A,TRUE,"RIDE";#N/A,#N/A,TRUE,"STEERING";#N/A,#N/A,TRUE,"HANDLING";#N/A,#N/A,TRUE,"BRAKING"}</definedName>
    <definedName name="CAM_4" localSheetId="8">{#N/A,#N/A,TRUE,"RIDE";#N/A,#N/A,TRUE,"STEERING";#N/A,#N/A,TRUE,"HANDLING";#N/A,#N/A,TRUE,"BRAKING"}</definedName>
    <definedName name="CAM_5" localSheetId="8">{#N/A,#N/A,TRUE,"RIDE";#N/A,#N/A,TRUE,"STEERING";#N/A,#N/A,TRUE,"HANDLING";#N/A,#N/A,TRUE,"BRAKING"}</definedName>
    <definedName name="CAM_6" localSheetId="8">{#N/A,#N/A,TRUE,"RIDE";#N/A,#N/A,TRUE,"STEERING";#N/A,#N/A,TRUE,"HANDLING";#N/A,#N/A,TRUE,"BRAKING"}</definedName>
    <definedName name="CAM_7" localSheetId="8">{#N/A,#N/A,TRUE,"RIDE";#N/A,#N/A,TRUE,"STEERING";#N/A,#N/A,TRUE,"HANDLING";#N/A,#N/A,TRUE,"BRAKING"}</definedName>
    <definedName name="CAM_8" localSheetId="8">{#N/A,#N/A,TRUE,"RIDE";#N/A,#N/A,TRUE,"STEERING";#N/A,#N/A,TRUE,"HANDLING";#N/A,#N/A,TRUE,"BRAKING"}</definedName>
    <definedName name="CAM_9" localSheetId="8">{#N/A,#N/A,TRUE,"RIDE";#N/A,#N/A,TRUE,"STEERING";#N/A,#N/A,TRUE,"HANDLING";#N/A,#N/A,TRUE,"BRAKING"}</definedName>
    <definedName name="caodetgerjtkhasdkf" hidden="1">{#N/A,#N/A,FALSE,"Tucson_2hdrs";#N/A,#N/A,FALSE,"Tucson_3hdrs";#N/A,#N/A,FALSE,"Tucson_4hdrs";#N/A,#N/A,FALSE,"Tucson_5hdrs";#N/A,#N/A,FALSE,"Tucson_6hrds";#N/A,#N/A,FALSE,"All Headers Cum Yield"}</definedName>
    <definedName name="CBWorkbookPriority" hidden="1">-1523958</definedName>
    <definedName name="cccddd" hidden="1">{#N/A,#N/A,FALSE,"단축1";#N/A,#N/A,FALSE,"단축2";#N/A,#N/A,FALSE,"단축3";#N/A,#N/A,FALSE,"장축";#N/A,#N/A,FALSE,"4WD"}</definedName>
    <definedName name="cemcs">#REF!</definedName>
    <definedName name="cemcs_1">#REF!</definedName>
    <definedName name="cemcs_2">#REF!</definedName>
    <definedName name="cemcs_3">#REF!</definedName>
    <definedName name="cemcs_4">#REF!</definedName>
    <definedName name="cf" hidden="1">{"'A2 Product Specification'!$A$1:$J$157"}</definedName>
    <definedName name="CFT">#REF!</definedName>
    <definedName name="chang" hidden="1">{#N/A,#N/A,FALSE,"을지 (4)";#N/A,#N/A,FALSE,"을지 (5)";#N/A,#N/A,FALSE,"을지 (6)"}</definedName>
    <definedName name="check" localSheetId="8" hidden="1">{#N/A,#N/A,TRUE,"RIDE";#N/A,#N/A,TRUE,"STEERING";#N/A,#N/A,TRUE,"HANDLING";#N/A,#N/A,TRUE,"BRAKING"}</definedName>
    <definedName name="check_1" localSheetId="8">{#N/A,#N/A,TRUE,"RIDE";#N/A,#N/A,TRUE,"STEERING";#N/A,#N/A,TRUE,"HANDLING";#N/A,#N/A,TRUE,"BRAKING"}</definedName>
    <definedName name="check_10" localSheetId="8">{#N/A,#N/A,TRUE,"RIDE";#N/A,#N/A,TRUE,"STEERING";#N/A,#N/A,TRUE,"HANDLING";#N/A,#N/A,TRUE,"BRAKING"}</definedName>
    <definedName name="check_11" localSheetId="8">{#N/A,#N/A,TRUE,"RIDE";#N/A,#N/A,TRUE,"STEERING";#N/A,#N/A,TRUE,"HANDLING";#N/A,#N/A,TRUE,"BRAKING"}</definedName>
    <definedName name="check_12" localSheetId="8">{#N/A,#N/A,TRUE,"RIDE";#N/A,#N/A,TRUE,"STEERING";#N/A,#N/A,TRUE,"HANDLING";#N/A,#N/A,TRUE,"BRAKING"}</definedName>
    <definedName name="check_13" localSheetId="8">{#N/A,#N/A,TRUE,"RIDE";#N/A,#N/A,TRUE,"STEERING";#N/A,#N/A,TRUE,"HANDLING";#N/A,#N/A,TRUE,"BRAKING"}</definedName>
    <definedName name="check_2" localSheetId="8">{#N/A,#N/A,TRUE,"RIDE";#N/A,#N/A,TRUE,"STEERING";#N/A,#N/A,TRUE,"HANDLING";#N/A,#N/A,TRUE,"BRAKING"}</definedName>
    <definedName name="check_3" localSheetId="8">{#N/A,#N/A,TRUE,"RIDE";#N/A,#N/A,TRUE,"STEERING";#N/A,#N/A,TRUE,"HANDLING";#N/A,#N/A,TRUE,"BRAKING"}</definedName>
    <definedName name="check_4" localSheetId="8">{#N/A,#N/A,TRUE,"RIDE";#N/A,#N/A,TRUE,"STEERING";#N/A,#N/A,TRUE,"HANDLING";#N/A,#N/A,TRUE,"BRAKING"}</definedName>
    <definedName name="check_5" localSheetId="8">{#N/A,#N/A,TRUE,"RIDE";#N/A,#N/A,TRUE,"STEERING";#N/A,#N/A,TRUE,"HANDLING";#N/A,#N/A,TRUE,"BRAKING"}</definedName>
    <definedName name="check_6" localSheetId="8">{#N/A,#N/A,TRUE,"RIDE";#N/A,#N/A,TRUE,"STEERING";#N/A,#N/A,TRUE,"HANDLING";#N/A,#N/A,TRUE,"BRAKING"}</definedName>
    <definedName name="check_7" localSheetId="8">{#N/A,#N/A,TRUE,"RIDE";#N/A,#N/A,TRUE,"STEERING";#N/A,#N/A,TRUE,"HANDLING";#N/A,#N/A,TRUE,"BRAKING"}</definedName>
    <definedName name="check_8" localSheetId="8">{#N/A,#N/A,TRUE,"RIDE";#N/A,#N/A,TRUE,"STEERING";#N/A,#N/A,TRUE,"HANDLING";#N/A,#N/A,TRUE,"BRAKING"}</definedName>
    <definedName name="check_9" localSheetId="8">{#N/A,#N/A,TRUE,"RIDE";#N/A,#N/A,TRUE,"STEERING";#N/A,#N/A,TRUE,"HANDLING";#N/A,#N/A,TRUE,"BRAKING"}</definedName>
    <definedName name="cho" hidden="1">{"'Monthly 1997'!$A$3:$S$89"}</definedName>
    <definedName name="col">#REF!</definedName>
    <definedName name="COL_1">[1]bobudget!#REF!</definedName>
    <definedName name="COL_2">[3]bobudget!#REF!</definedName>
    <definedName name="COL_3">[3]bobudget!#REF!</definedName>
    <definedName name="COL_4">[1]bobudget!#REF!</definedName>
    <definedName name="col_model">#REF!</definedName>
    <definedName name="col_NewDet">[8]DFMEA!#REF!</definedName>
    <definedName name="compo">#REF!</definedName>
    <definedName name="compo_Number">#REF!</definedName>
    <definedName name="cover2" hidden="1">#REF!</definedName>
    <definedName name="_xlnm.Criteria">'[9]Data Sheet_Do not change'!$I$3:$I$10</definedName>
    <definedName name="CS_MIS">[2]main!#REF!</definedName>
    <definedName name="CS_MIS_1">[2]main!#REF!</definedName>
    <definedName name="CS_MIS_2">[6]main!#REF!</definedName>
    <definedName name="CS_MIS_3">[6]main!#REF!</definedName>
    <definedName name="CS_MIS_4">[2]main!#REF!</definedName>
    <definedName name="cvd">[10]IND9899!$M$44:$IV$8049</definedName>
    <definedName name="cwethkjhcvxpiwead" hidden="1">{#N/A,#N/A,FALSE,"Tucson_2hdrs";#N/A,#N/A,FALSE,"Tucson_3hdrs";#N/A,#N/A,FALSE,"Tucson_4hdrs";#N/A,#N/A,FALSE,"Tucson_5hdrs";#N/A,#N/A,FALSE,"Tucson_6hrds";#N/A,#N/A,FALSE,"All Headers Cum Yield"}</definedName>
    <definedName name="_xlnm.Database">#REF!</definedName>
    <definedName name="Date_1">#REF!</definedName>
    <definedName name="Date_2">#REF!</definedName>
    <definedName name="Date_3">#REF!</definedName>
    <definedName name="Date_4">#REF!</definedName>
    <definedName name="ddd" localSheetId="8" hidden="1">{#N/A,#N/A,TRUE,"RIDE";#N/A,#N/A,TRUE,"STEERING";#N/A,#N/A,TRUE,"HANDLING";#N/A,#N/A,TRUE,"BRAKING"}</definedName>
    <definedName name="ddd_1" localSheetId="8">{#N/A,#N/A,TRUE,"RIDE";#N/A,#N/A,TRUE,"STEERING";#N/A,#N/A,TRUE,"HANDLING";#N/A,#N/A,TRUE,"BRAKING"}</definedName>
    <definedName name="ddd_10" localSheetId="8">{#N/A,#N/A,TRUE,"RIDE";#N/A,#N/A,TRUE,"STEERING";#N/A,#N/A,TRUE,"HANDLING";#N/A,#N/A,TRUE,"BRAKING"}</definedName>
    <definedName name="ddd_11" localSheetId="8">{#N/A,#N/A,TRUE,"RIDE";#N/A,#N/A,TRUE,"STEERING";#N/A,#N/A,TRUE,"HANDLING";#N/A,#N/A,TRUE,"BRAKING"}</definedName>
    <definedName name="ddd_12" localSheetId="8">{#N/A,#N/A,TRUE,"RIDE";#N/A,#N/A,TRUE,"STEERING";#N/A,#N/A,TRUE,"HANDLING";#N/A,#N/A,TRUE,"BRAKING"}</definedName>
    <definedName name="ddd_13" localSheetId="8">{#N/A,#N/A,TRUE,"RIDE";#N/A,#N/A,TRUE,"STEERING";#N/A,#N/A,TRUE,"HANDLING";#N/A,#N/A,TRUE,"BRAKING"}</definedName>
    <definedName name="ddd_2" localSheetId="8">{#N/A,#N/A,TRUE,"RIDE";#N/A,#N/A,TRUE,"STEERING";#N/A,#N/A,TRUE,"HANDLING";#N/A,#N/A,TRUE,"BRAKING"}</definedName>
    <definedName name="ddd_3" localSheetId="8">{#N/A,#N/A,TRUE,"RIDE";#N/A,#N/A,TRUE,"STEERING";#N/A,#N/A,TRUE,"HANDLING";#N/A,#N/A,TRUE,"BRAKING"}</definedName>
    <definedName name="ddd_4" localSheetId="8">{#N/A,#N/A,TRUE,"RIDE";#N/A,#N/A,TRUE,"STEERING";#N/A,#N/A,TRUE,"HANDLING";#N/A,#N/A,TRUE,"BRAKING"}</definedName>
    <definedName name="ddd_5" localSheetId="8">{#N/A,#N/A,TRUE,"RIDE";#N/A,#N/A,TRUE,"STEERING";#N/A,#N/A,TRUE,"HANDLING";#N/A,#N/A,TRUE,"BRAKING"}</definedName>
    <definedName name="ddd_6" localSheetId="8">{#N/A,#N/A,TRUE,"RIDE";#N/A,#N/A,TRUE,"STEERING";#N/A,#N/A,TRUE,"HANDLING";#N/A,#N/A,TRUE,"BRAKING"}</definedName>
    <definedName name="ddd_7" localSheetId="8">{#N/A,#N/A,TRUE,"RIDE";#N/A,#N/A,TRUE,"STEERING";#N/A,#N/A,TRUE,"HANDLING";#N/A,#N/A,TRUE,"BRAKING"}</definedName>
    <definedName name="ddd_8" localSheetId="8">{#N/A,#N/A,TRUE,"RIDE";#N/A,#N/A,TRUE,"STEERING";#N/A,#N/A,TRUE,"HANDLING";#N/A,#N/A,TRUE,"BRAKING"}</definedName>
    <definedName name="ddd_9" localSheetId="8">{#N/A,#N/A,TRUE,"RIDE";#N/A,#N/A,TRUE,"STEERING";#N/A,#N/A,TRUE,"HANDLING";#N/A,#N/A,TRUE,"BRAKING"}</definedName>
    <definedName name="DDDD" hidden="1">{#N/A,#N/A,FALSE,"단축1";#N/A,#N/A,FALSE,"단축2";#N/A,#N/A,FALSE,"단축3";#N/A,#N/A,FALSE,"장축";#N/A,#N/A,FALSE,"4WD"}</definedName>
    <definedName name="DDDDDDD" hidden="1">#REF!</definedName>
    <definedName name="DDS" hidden="1">{#N/A,#N/A,FALSE,"을지 (4)";#N/A,#N/A,FALSE,"을지 (5)";#N/A,#N/A,FALSE,"을지 (6)"}</definedName>
    <definedName name="Delivered">'[7]Ellesmere Port (08)'!$L$56</definedName>
    <definedName name="Description">#REF!</definedName>
    <definedName name="DETAILS">#REF!</definedName>
    <definedName name="DETAILS_1">#REF!</definedName>
    <definedName name="DETAILS_2">#REF!</definedName>
    <definedName name="DETAILS_3">#REF!</definedName>
    <definedName name="DETAILS_4">#REF!</definedName>
    <definedName name="DF_SubSys">#REF!</definedName>
    <definedName name="DF_Sys">#REF!</definedName>
    <definedName name="DFF" hidden="1">{#N/A,#N/A,FALSE,"단축1";#N/A,#N/A,FALSE,"단축2";#N/A,#N/A,FALSE,"단축3";#N/A,#N/A,FALSE,"장축";#N/A,#N/A,FALSE,"4WD"}</definedName>
    <definedName name="DFJHD" hidden="1">{#N/A,#N/A,FALSE,"단축1";#N/A,#N/A,FALSE,"단축2";#N/A,#N/A,FALSE,"단축3";#N/A,#N/A,FALSE,"장축";#N/A,#N/A,FALSE,"4WD"}</definedName>
    <definedName name="DFMEA_ID">#REF!</definedName>
    <definedName name="Discount" hidden="1">#REF!</definedName>
    <definedName name="display_area_2" hidden="1">#REF!</definedName>
    <definedName name="dlajgksdhasdjkhgcost" hidden="1">{#N/A,#N/A,FALSE,"Tucson_2hdrs";#N/A,#N/A,FALSE,"Tucson_3hdrs";#N/A,#N/A,FALSE,"Tucson_4hdrs";#N/A,#N/A,FALSE,"Tucson_5hdrs";#N/A,#N/A,FALSE,"Tucson_6hrds";#N/A,#N/A,FALSE,"All Headers Cum Yield"}</definedName>
    <definedName name="DLAKL" hidden="1">{#N/A,#N/A,TRUE,"Y생산";#N/A,#N/A,TRUE,"Y판매";#N/A,#N/A,TRUE,"Y총물량";#N/A,#N/A,TRUE,"Y능력";#N/A,#N/A,TRUE,"YKD"}</definedName>
    <definedName name="DLDL" hidden="1">{#N/A,#N/A,FALSE,"단축1";#N/A,#N/A,FALSE,"단축2";#N/A,#N/A,FALSE,"단축3";#N/A,#N/A,FALSE,"장축";#N/A,#N/A,FALSE,"4WD"}</definedName>
    <definedName name="DS" hidden="1">{#N/A,#N/A,FALSE,"초도품";#N/A,#N/A,FALSE,"초도품 (2)";#N/A,#N/A,FALSE,"초도품 (3)";#N/A,#N/A,FALSE,"초도품 (4)";#N/A,#N/A,FALSE,"초도품 (5)";#N/A,#N/A,FALSE,"초도품 (6)"}</definedName>
    <definedName name="DSA" hidden="1">{#N/A,#N/A,FALSE,"을지 (4)";#N/A,#N/A,FALSE,"을지 (5)";#N/A,#N/A,FALSE,"을지 (6)"}</definedName>
    <definedName name="dsewoinvxclkvhiewrwe" hidden="1">{#N/A,#N/A,FALSE,"Tucson_2hdrs";#N/A,#N/A,FALSE,"Tucson_3hdrs";#N/A,#N/A,FALSE,"Tucson_4hdrs";#N/A,#N/A,FALSE,"Tucson_5hdrs";#N/A,#N/A,FALSE,"Tucson_6hrds";#N/A,#N/A,FALSE,"All Headers Cum Yield"}</definedName>
    <definedName name="dsfsf" hidden="1">{"SUM GER",#N/A,FALSE,"SUM GER";"SUM FRA",#N/A,FALSE,"SUM FRA";"SUM ITA",#N/A,FALSE,"SUM ITA";"SUM SPA",#N/A,FALSE,"SUM SPA";"SUM EGB",#N/A,FALSE,"SUM EGB";"SUM IND",#N/A,FALSE,"SUM IND"}</definedName>
    <definedName name="DwgNo">#REF!</definedName>
    <definedName name="DwgNo_1">#REF!</definedName>
    <definedName name="DwgNo_2">#REF!</definedName>
    <definedName name="DwgNo_3">#REF!</definedName>
    <definedName name="DwgNo_4">#REF!</definedName>
    <definedName name="ECN_No">#REF!</definedName>
    <definedName name="eeee" hidden="1">{"PT2000",#N/A,FALSE,"BL2000"}</definedName>
    <definedName name="EMC_종평보고" hidden="1">#REF!</definedName>
    <definedName name="ENTE" hidden="1">{#N/A,#N/A,TRUE,"ENTETE";#N/A,#N/A,TRUE,"COMPOSANTS"}</definedName>
    <definedName name="ENTETE" hidden="1">{#N/A,#N/A,TRUE,"ENTETE";#N/A,#N/A,TRUE,"COMPOSANTS"}</definedName>
    <definedName name="EOGH" hidden="1">{#N/A,#N/A,FALSE,"단축1";#N/A,#N/A,FALSE,"단축2";#N/A,#N/A,FALSE,"단축3";#N/A,#N/A,FALSE,"장축";#N/A,#N/A,FALSE,"4WD"}</definedName>
    <definedName name="EqUnitsData">#REF!</definedName>
    <definedName name="EqUnitsData_1">#REF!</definedName>
    <definedName name="EqUnitsData_2">#REF!</definedName>
    <definedName name="EqUnitsData_3">#REF!</definedName>
    <definedName name="EqUnitsData_4">#REF!</definedName>
    <definedName name="EuroFitPolicy">NA()</definedName>
    <definedName name="EuroFitPolicy_1">NA()</definedName>
    <definedName name="EuroFitPolicy_2">NA()</definedName>
    <definedName name="EuroFitPolicy_3">NA()</definedName>
    <definedName name="EuroFitPolicy_4" localSheetId="8">(#REF!,#REF!,#REF!,#REF!,#REF!,#REF!,#REF!,#REF!,#REF!,#REF!,#REF!,#REF!,#REF!,#REF!,#REF!,#REF!,#REF!,#REF!,#REF!,#REF!,#REF!,#REF!,#REF!,#REF!,#REF!,#REF!,#REF!,#REF!,#REF!,#REF!,#REF!,#REF!,#REF!,#REF!,#REF!,#REF!,#REF!,#REF!,#REF!,#REF!,#REF!,#REF!,#REF!,#REF!,#REF!,#REF!,#REF!,#REF!,#REF!,#REF!,#REF!,#REF!,#REF!,#REF!,#REF!,#REF!,#REF!,#REF!,#REF!)</definedName>
    <definedName name="EuroFitPolicy_4">(#REF!,#REF!,#REF!,#REF!,#REF!,#REF!,#REF!,#REF!,#REF!,#REF!,#REF!,#REF!,#REF!,#REF!,#REF!,#REF!,#REF!,#REF!,#REF!,#REF!,#REF!,#REF!,#REF!,#REF!,#REF!,#REF!,#REF!,#REF!,#REF!,#REF!,#REF!,#REF!,#REF!,#REF!,#REF!,#REF!,#REF!,#REF!,#REF!,#REF!,#REF!,#REF!,#REF!,#REF!,#REF!,#REF!,#REF!,#REF!,#REF!,#REF!,#REF!,#REF!,#REF!,#REF!,#REF!,#REF!,#REF!,#REF!,#REF!)</definedName>
    <definedName name="EWA" hidden="1">{#N/A,#N/A,FALSE,"초도품";#N/A,#N/A,FALSE,"초도품 (2)";#N/A,#N/A,FALSE,"초도품 (3)";#N/A,#N/A,FALSE,"초도품 (4)";#N/A,#N/A,FALSE,"초도품 (5)";#N/A,#N/A,FALSE,"초도품 (6)"}</definedName>
    <definedName name="ewrdlkasdflkasdflasd" hidden="1">{#N/A,#N/A,FALSE,"Tucson_2hdrs";#N/A,#N/A,FALSE,"Tucson_3hdrs";#N/A,#N/A,FALSE,"Tucson_4hdrs";#N/A,#N/A,FALSE,"Tucson_5hdrs";#N/A,#N/A,FALSE,"Tucson_6hrds";#N/A,#N/A,FALSE,"All Headers Cum Yield"}</definedName>
    <definedName name="Excel_BuiltIn_Criteria_2">#REF!</definedName>
    <definedName name="Excel_BuiltIn_Criteria_3">#REF!</definedName>
    <definedName name="Excel_BuiltIn_Criteria_4">#REF!</definedName>
    <definedName name="Excel_BuiltIn_Print_Area_10">#REF!</definedName>
    <definedName name="Excel_BuiltIn_Print_Area_13">#REF!</definedName>
    <definedName name="Excel_BuiltIn_Print_Area_14">#REF!</definedName>
    <definedName name="Excel_BuiltIn_Print_Titles_10">[11]DFMEA!$A$1:$IV$10</definedName>
    <definedName name="Factor">[12]finalised!$B$537</definedName>
    <definedName name="Factor_1">[13]finalised!$B$537</definedName>
    <definedName name="Factor_2">[12]finalised!$B$537</definedName>
    <definedName name="FADGADFGASDGAS" hidden="1">{#N/A,#N/A,FALSE,"Tucson_2hdrs";#N/A,#N/A,FALSE,"Tucson_3hdrs";#N/A,#N/A,FALSE,"Tucson_4hdrs";#N/A,#N/A,FALSE,"Tucson_5hdrs";#N/A,#N/A,FALSE,"Tucson_6hrds";#N/A,#N/A,FALSE,"All Headers Cum Yield"}</definedName>
    <definedName name="fasdf" hidden="1">{"SUM ALL YR",#N/A,FALSE,"SUM ALL YR";"sum01",#N/A,FALSE,"SUM 01";"sumM2",#N/A,FALSE,"SUM M2";"sum02",#N/A,FALSE,"SUM 02";"sum03",#N/A,FALSE,"SUM 03";"sum04",#N/A,FALSE,"SUM 04";"sum05",#N/A,FALSE,"SUM 05"}</definedName>
    <definedName name="Fault_monitor">'[7]Ellesmere Port (08)'!$L$34</definedName>
    <definedName name="FCode" hidden="1">#REF!</definedName>
    <definedName name="FDGHDFG" hidden="1">{#N/A,#N/A,FALSE,"단축1";#N/A,#N/A,FALSE,"단축2";#N/A,#N/A,FALSE,"단축3";#N/A,#N/A,FALSE,"장축";#N/A,#N/A,FALSE,"4WD"}</definedName>
    <definedName name="fdsfsdfdsf" hidden="1">#REF!</definedName>
    <definedName name="FER">#REF!</definedName>
    <definedName name="FF" hidden="1">#REF!</definedName>
    <definedName name="FFDF" hidden="1">{#N/A,#N/A,FALSE,"단축1";#N/A,#N/A,FALSE,"단축2";#N/A,#N/A,FALSE,"단축3";#N/A,#N/A,FALSE,"장축";#N/A,#N/A,FALSE,"4WD"}</definedName>
    <definedName name="ffff" localSheetId="8" hidden="1">{#N/A,#N/A,TRUE,"RIDE";#N/A,#N/A,TRUE,"STEERING";#N/A,#N/A,TRUE,"HANDLING";#N/A,#N/A,TRUE,"BRAKING"}</definedName>
    <definedName name="ffff_1" localSheetId="8">{#N/A,#N/A,TRUE,"RIDE";#N/A,#N/A,TRUE,"STEERING";#N/A,#N/A,TRUE,"HANDLING";#N/A,#N/A,TRUE,"BRAKING"}</definedName>
    <definedName name="ffff_10" localSheetId="8">{#N/A,#N/A,TRUE,"RIDE";#N/A,#N/A,TRUE,"STEERING";#N/A,#N/A,TRUE,"HANDLING";#N/A,#N/A,TRUE,"BRAKING"}</definedName>
    <definedName name="ffff_11" localSheetId="8">{#N/A,#N/A,TRUE,"RIDE";#N/A,#N/A,TRUE,"STEERING";#N/A,#N/A,TRUE,"HANDLING";#N/A,#N/A,TRUE,"BRAKING"}</definedName>
    <definedName name="ffff_12" localSheetId="8">{#N/A,#N/A,TRUE,"RIDE";#N/A,#N/A,TRUE,"STEERING";#N/A,#N/A,TRUE,"HANDLING";#N/A,#N/A,TRUE,"BRAKING"}</definedName>
    <definedName name="ffff_13" localSheetId="8">{#N/A,#N/A,TRUE,"RIDE";#N/A,#N/A,TRUE,"STEERING";#N/A,#N/A,TRUE,"HANDLING";#N/A,#N/A,TRUE,"BRAKING"}</definedName>
    <definedName name="ffff_2" localSheetId="8">{#N/A,#N/A,TRUE,"RIDE";#N/A,#N/A,TRUE,"STEERING";#N/A,#N/A,TRUE,"HANDLING";#N/A,#N/A,TRUE,"BRAKING"}</definedName>
    <definedName name="ffff_3" localSheetId="8">{#N/A,#N/A,TRUE,"RIDE";#N/A,#N/A,TRUE,"STEERING";#N/A,#N/A,TRUE,"HANDLING";#N/A,#N/A,TRUE,"BRAKING"}</definedName>
    <definedName name="ffff_4" localSheetId="8">{#N/A,#N/A,TRUE,"RIDE";#N/A,#N/A,TRUE,"STEERING";#N/A,#N/A,TRUE,"HANDLING";#N/A,#N/A,TRUE,"BRAKING"}</definedName>
    <definedName name="ffff_5" localSheetId="8">{#N/A,#N/A,TRUE,"RIDE";#N/A,#N/A,TRUE,"STEERING";#N/A,#N/A,TRUE,"HANDLING";#N/A,#N/A,TRUE,"BRAKING"}</definedName>
    <definedName name="ffff_6" localSheetId="8">{#N/A,#N/A,TRUE,"RIDE";#N/A,#N/A,TRUE,"STEERING";#N/A,#N/A,TRUE,"HANDLING";#N/A,#N/A,TRUE,"BRAKING"}</definedName>
    <definedName name="ffff_7" localSheetId="8">{#N/A,#N/A,TRUE,"RIDE";#N/A,#N/A,TRUE,"STEERING";#N/A,#N/A,TRUE,"HANDLING";#N/A,#N/A,TRUE,"BRAKING"}</definedName>
    <definedName name="ffff_8" localSheetId="8">{#N/A,#N/A,TRUE,"RIDE";#N/A,#N/A,TRUE,"STEERING";#N/A,#N/A,TRUE,"HANDLING";#N/A,#N/A,TRUE,"BRAKING"}</definedName>
    <definedName name="ffff_9" localSheetId="8">{#N/A,#N/A,TRUE,"RIDE";#N/A,#N/A,TRUE,"STEERING";#N/A,#N/A,TRUE,"HANDLING";#N/A,#N/A,TRUE,"BRAKING"}</definedName>
    <definedName name="findate">#REF!</definedName>
    <definedName name="FIP" hidden="1">{#N/A,#N/A,FALSE,"Tucson_2hdrs";#N/A,#N/A,FALSE,"Tucson_3hdrs";#N/A,#N/A,FALSE,"Tucson_4hdrs";#N/A,#N/A,FALSE,"Tucson_5hdrs";#N/A,#N/A,FALSE,"Tucson_6hrds";#N/A,#N/A,FALSE,"All Headers Cum Yield"}</definedName>
    <definedName name="FIR" hidden="1">{#N/A,#N/A,FALSE,"Tucson_2hdrs";#N/A,#N/A,FALSE,"Tucson_3hdrs";#N/A,#N/A,FALSE,"Tucson_4hdrs";#N/A,#N/A,FALSE,"Tucson_5hdrs";#N/A,#N/A,FALSE,"Tucson_6hrds";#N/A,#N/A,FALSE,"All Headers Cum Yield"}</definedName>
    <definedName name="fjalaslaslfasllaa" hidden="1">{#N/A,#N/A,FALSE,"을지 (4)";#N/A,#N/A,FALSE,"을지 (5)";#N/A,#N/A,FALSE,"을지 (6)"}</definedName>
    <definedName name="FJEUJFUE" hidden="1">{#N/A,#N/A,FALSE,"Tucson_2hdrs";#N/A,#N/A,FALSE,"Tucson_3hdrs";#N/A,#N/A,FALSE,"Tucson_4hdrs";#N/A,#N/A,FALSE,"Tucson_5hdrs";#N/A,#N/A,FALSE,"Tucson_6hrds";#N/A,#N/A,FALSE,"All Headers Cum Yield"}</definedName>
    <definedName name="FJFJ" hidden="1">{#N/A,#N/A,FALSE,"단축1";#N/A,#N/A,FALSE,"단축2";#N/A,#N/A,FALSE,"단축3";#N/A,#N/A,FALSE,"장축";#N/A,#N/A,FALSE,"4WD"}</definedName>
    <definedName name="fkfkfkfkfkf" hidden="1">{#N/A,#N/A,FALSE,"을지 (4)";#N/A,#N/A,FALSE,"을지 (5)";#N/A,#N/A,FALSE,"을지 (6)"}</definedName>
    <definedName name="fkfkfkfkfkfkfkfk" hidden="1">{#N/A,#N/A,FALSE,"을지 (4)";#N/A,#N/A,FALSE,"을지 (5)";#N/A,#N/A,FALSE,"을지 (6)"}</definedName>
    <definedName name="fm_no">#REF!</definedName>
    <definedName name="fmea">#REF!</definedName>
    <definedName name="fmea_desc">#REF!</definedName>
    <definedName name="FMEA_ID">#REF!</definedName>
    <definedName name="fmea_num">#REF!</definedName>
    <definedName name="fmea_number">#REF!</definedName>
    <definedName name="FMEA1">#REF!</definedName>
    <definedName name="fmea1_number">#REF!</definedName>
    <definedName name="fri" hidden="1">{#N/A,#N/A,FALSE,"Tucson_2hdrs";#N/A,#N/A,FALSE,"Tucson_3hdrs";#N/A,#N/A,FALSE,"Tucson_4hdrs";#N/A,#N/A,FALSE,"Tucson_5hdrs";#N/A,#N/A,FALSE,"Tucson_6hrds";#N/A,#N/A,FALSE,"All Headers Cum Yield"}</definedName>
    <definedName name="front.ind" hidden="1">{#N/A,#N/A,FALSE,"Tucson_2hdrs";#N/A,#N/A,FALSE,"Tucson_3hdrs";#N/A,#N/A,FALSE,"Tucson_4hdrs";#N/A,#N/A,FALSE,"Tucson_5hdrs";#N/A,#N/A,FALSE,"Tucson_6hrds";#N/A,#N/A,FALSE,"All Headers Cum Yield"}</definedName>
    <definedName name="Fun">[14]bobudget!#REF!</definedName>
    <definedName name="Function_3">#REF!</definedName>
    <definedName name="Function_4">#REF!</definedName>
    <definedName name="G3a" hidden="1">{"'Mini Tower'!$A$1:$K$49"}</definedName>
    <definedName name="gfdgh" hidden="1">{"SUM GER",#N/A,FALSE,"SUM GER";"SUM FRA",#N/A,FALSE,"SUM FRA";"SUM ITA",#N/A,FALSE,"SUM ITA";"SUM SPA",#N/A,FALSE,"SUM SPA";"SUM EGB",#N/A,FALSE,"SUM EGB";"SUM IND",#N/A,FALSE,"SUM IND"}</definedName>
    <definedName name="GFDS" hidden="1">{#N/A,#N/A,FALSE,"단축1";#N/A,#N/A,FALSE,"단축2";#N/A,#N/A,FALSE,"단축3";#N/A,#N/A,FALSE,"장축";#N/A,#N/A,FALSE,"4WD"}</definedName>
    <definedName name="gga" localSheetId="8" hidden="1">{#N/A,#N/A,TRUE,"RIDE";#N/A,#N/A,TRUE,"STEERING";#N/A,#N/A,TRUE,"HANDLING";#N/A,#N/A,TRUE,"BRAKING"}</definedName>
    <definedName name="gh" localSheetId="8" hidden="1">{#N/A,#N/A,TRUE,"RIDE";#N/A,#N/A,TRUE,"STEERING";#N/A,#N/A,TRUE,"HANDLING";#N/A,#N/A,TRUE,"BRAKING"}</definedName>
    <definedName name="gh" hidden="1">#REF!</definedName>
    <definedName name="GHDJDG" hidden="1">{#N/A,#N/A,FALSE,"단축1";#N/A,#N/A,FALSE,"단축2";#N/A,#N/A,FALSE,"단축3";#N/A,#N/A,FALSE,"장축";#N/A,#N/A,FALSE,"4WD"}</definedName>
    <definedName name="GHUTGHF" hidden="1">{#N/A,#N/A,FALSE,"96 3월물량표";#N/A,#N/A,FALSE,"96 4월물량표";#N/A,#N/A,FALSE,"96 5월물량표"}</definedName>
    <definedName name="Graph_pareto">'[7]Ellesmere Port (08)'!$B$33</definedName>
    <definedName name="Graph_trend">'[7]Ellesmere Port (08)'!$B$7</definedName>
    <definedName name="hdfgh" hidden="1">{"SUM GER",#N/A,FALSE,"SUM GER";"SUM FRA",#N/A,FALSE,"SUM FRA";"SUM ITA",#N/A,FALSE,"SUM ITA";"SUM SPA",#N/A,FALSE,"SUM SPA";"SUM EGB",#N/A,FALSE,"SUM EGB";"SUM IND",#N/A,FALSE,"SUM IND"}</definedName>
    <definedName name="hdfghfg" hidden="1">{"SUM ALL YR",#N/A,FALSE,"SUM ALL YR";"sum01",#N/A,FALSE,"SUM 01";"sumM2",#N/A,FALSE,"SUM M2";"sum02",#N/A,FALSE,"SUM 02";"sum03",#N/A,FALSE,"SUM 03";"sum04",#N/A,FALSE,"SUM 04";"sum05",#N/A,FALSE,"SUM 05"}</definedName>
    <definedName name="HFG" hidden="1">{#N/A,#N/A,TRUE,"Y생산";#N/A,#N/A,TRUE,"Y판매";#N/A,#N/A,TRUE,"Y총물량";#N/A,#N/A,TRUE,"Y능력";#N/A,#N/A,TRUE,"YKD"}</definedName>
    <definedName name="hhh" hidden="1">{#N/A,#N/A,FALSE,"Tucson_2hdrs";#N/A,#N/A,FALSE,"Tucson_3hdrs";#N/A,#N/A,FALSE,"Tucson_4hdrs";#N/A,#N/A,FALSE,"Tucson_5hdrs";#N/A,#N/A,FALSE,"Tucson_6hrds";#N/A,#N/A,FALSE,"All Headers Cum Yield"}</definedName>
    <definedName name="hhhhh" localSheetId="8" hidden="1">{#N/A,#N/A,TRUE,"RIDE";#N/A,#N/A,TRUE,"STEERING";#N/A,#N/A,TRUE,"HANDLING";#N/A,#N/A,TRUE,"BRAKING"}</definedName>
    <definedName name="hhhhh_1" localSheetId="8">{#N/A,#N/A,TRUE,"RIDE";#N/A,#N/A,TRUE,"STEERING";#N/A,#N/A,TRUE,"HANDLING";#N/A,#N/A,TRUE,"BRAKING"}</definedName>
    <definedName name="hhhhh_10" localSheetId="8">{#N/A,#N/A,TRUE,"RIDE";#N/A,#N/A,TRUE,"STEERING";#N/A,#N/A,TRUE,"HANDLING";#N/A,#N/A,TRUE,"BRAKING"}</definedName>
    <definedName name="hhhhh_11" localSheetId="8">{#N/A,#N/A,TRUE,"RIDE";#N/A,#N/A,TRUE,"STEERING";#N/A,#N/A,TRUE,"HANDLING";#N/A,#N/A,TRUE,"BRAKING"}</definedName>
    <definedName name="hhhhh_12" localSheetId="8">{#N/A,#N/A,TRUE,"RIDE";#N/A,#N/A,TRUE,"STEERING";#N/A,#N/A,TRUE,"HANDLING";#N/A,#N/A,TRUE,"BRAKING"}</definedName>
    <definedName name="hhhhh_13" localSheetId="8">{#N/A,#N/A,TRUE,"RIDE";#N/A,#N/A,TRUE,"STEERING";#N/A,#N/A,TRUE,"HANDLING";#N/A,#N/A,TRUE,"BRAKING"}</definedName>
    <definedName name="hhhhh_2" localSheetId="8">{#N/A,#N/A,TRUE,"RIDE";#N/A,#N/A,TRUE,"STEERING";#N/A,#N/A,TRUE,"HANDLING";#N/A,#N/A,TRUE,"BRAKING"}</definedName>
    <definedName name="hhhhh_3" localSheetId="8">{#N/A,#N/A,TRUE,"RIDE";#N/A,#N/A,TRUE,"STEERING";#N/A,#N/A,TRUE,"HANDLING";#N/A,#N/A,TRUE,"BRAKING"}</definedName>
    <definedName name="hhhhh_4" localSheetId="8">{#N/A,#N/A,TRUE,"RIDE";#N/A,#N/A,TRUE,"STEERING";#N/A,#N/A,TRUE,"HANDLING";#N/A,#N/A,TRUE,"BRAKING"}</definedName>
    <definedName name="hhhhh_5" localSheetId="8">{#N/A,#N/A,TRUE,"RIDE";#N/A,#N/A,TRUE,"STEERING";#N/A,#N/A,TRUE,"HANDLING";#N/A,#N/A,TRUE,"BRAKING"}</definedName>
    <definedName name="hhhhh_6" localSheetId="8">{#N/A,#N/A,TRUE,"RIDE";#N/A,#N/A,TRUE,"STEERING";#N/A,#N/A,TRUE,"HANDLING";#N/A,#N/A,TRUE,"BRAKING"}</definedName>
    <definedName name="hhhhh_7" localSheetId="8">{#N/A,#N/A,TRUE,"RIDE";#N/A,#N/A,TRUE,"STEERING";#N/A,#N/A,TRUE,"HANDLING";#N/A,#N/A,TRUE,"BRAKING"}</definedName>
    <definedName name="hhhhh_8" localSheetId="8">{#N/A,#N/A,TRUE,"RIDE";#N/A,#N/A,TRUE,"STEERING";#N/A,#N/A,TRUE,"HANDLING";#N/A,#N/A,TRUE,"BRAKING"}</definedName>
    <definedName name="hhhhh_9" localSheetId="8">{#N/A,#N/A,TRUE,"RIDE";#N/A,#N/A,TRUE,"STEERING";#N/A,#N/A,TRUE,"HANDLING";#N/A,#N/A,TRUE,"BRAKING"}</definedName>
    <definedName name="hhjhh" hidden="1">#REF!</definedName>
    <definedName name="HiddenRows" hidden="1">#REF!</definedName>
    <definedName name="HIDE1">[1]bobudget!#REF!</definedName>
    <definedName name="HIDE1_1">[1]bobudget!#REF!</definedName>
    <definedName name="HIDE1_2">[3]bobudget!#REF!</definedName>
    <definedName name="HIDE1_3">[3]bobudget!#REF!</definedName>
    <definedName name="HIDE1_4">[1]bobudget!#REF!</definedName>
    <definedName name="HIDE2">[1]bobudget!#REF!</definedName>
    <definedName name="HIDE2_1">[1]bobudget!#REF!</definedName>
    <definedName name="HIDE2_2">[3]bobudget!#REF!</definedName>
    <definedName name="HIDE2_3">[3]bobudget!#REF!</definedName>
    <definedName name="HIDE2_4">[1]bobudget!#REF!</definedName>
    <definedName name="hitory" hidden="1">#REF!</definedName>
    <definedName name="HJKLL" hidden="1">{#N/A,#N/A,TRUE,"Y생산";#N/A,#N/A,TRUE,"Y판매";#N/A,#N/A,TRUE,"Y총물량";#N/A,#N/A,TRUE,"Y능력";#N/A,#N/A,TRUE,"YKD"}</definedName>
    <definedName name="HOJA" hidden="1">{"RES-2002",#N/A,FALSE,"BL2000";"A1-2002",#N/A,FALSE,"BL2000";"A2-2002",#N/A,FALSE,"BL2000"}</definedName>
    <definedName name="HTM_Controla" hidden="1">{"'Mini Tower'!$A$1:$K$49"}</definedName>
    <definedName name="HTML_" hidden="1">{"'HP-MIC-Tyan Team List'!$A$1","'HP-MIC-Tyan Team List'!$A$1:$H$80"}</definedName>
    <definedName name="HTML_CodePage" hidden="1">1252</definedName>
    <definedName name="HTML_Control" hidden="1">{"'Process Flow'!$A$1:$F$1","'Process Flow'!$A$2:$F$2"}</definedName>
    <definedName name="HTML_Description" hidden="1">""</definedName>
    <definedName name="HTML_Email" hidden="1">""</definedName>
    <definedName name="HTML_Header" hidden="1">"Process Flow"</definedName>
    <definedName name="HTML_LastUpdate" hidden="1">"04.11.99"</definedName>
    <definedName name="HTML_LineAfter" hidden="1">FALSE</definedName>
    <definedName name="HTML_LineBefore" hidden="1">FALSE</definedName>
    <definedName name="HTML_Name" hidden="1">"Lear Corporation"</definedName>
    <definedName name="HTML_OBDlg2" hidden="1">TRUE</definedName>
    <definedName name="HTML_OBDlg3" hidden="1">TRUE</definedName>
    <definedName name="HTML_OBDlg4" hidden="1">TRUE</definedName>
    <definedName name="HTML_OS" hidden="1">0</definedName>
    <definedName name="HTML_PathFile" hidden="1">"C:\Eigene Dateien\MeinHTML.htm"</definedName>
    <definedName name="HTML_PathTemplate" hidden="1">"C:\Eigene Dateien\HTMLTemp.htm"</definedName>
    <definedName name="HTML_Title" hidden="1">"Process Flow Chart"</definedName>
    <definedName name="HTML1_1" localSheetId="8">"[tracklog.xls]Sheet1!$A$1:$W$287"</definedName>
    <definedName name="HTML1_1" hidden="1">"'[anly9705.xls]EM02'!$A$1:$H$38"</definedName>
    <definedName name="HTML1_10" localSheetId="8">"cwilmers@ford.com"</definedName>
    <definedName name="HTML1_10" hidden="1">""</definedName>
    <definedName name="HTML1_11" hidden="1">1</definedName>
    <definedName name="HTML1_12" localSheetId="8">"H:\dos\tracklog.htm"</definedName>
    <definedName name="HTML1_12" hidden="1">"C:\My Documents\MyHTML.htm"</definedName>
    <definedName name="HTML1_2" hidden="1">1</definedName>
    <definedName name="HTML1_3" localSheetId="8">"CD132 Tracking Log, 16. Sept. 1997"</definedName>
    <definedName name="HTML1_3" hidden="1">"anly9705"</definedName>
    <definedName name="HTML1_4" localSheetId="8">"CD132 Tracking Log, 16. Sept. 1997"</definedName>
    <definedName name="HTML1_4" hidden="1">"EM02"</definedName>
    <definedName name="HTML1_5" hidden="1">""</definedName>
    <definedName name="HTML1_6" localSheetId="8">1</definedName>
    <definedName name="HTML1_6" hidden="1">-4146</definedName>
    <definedName name="HTML1_7" hidden="1">-4146</definedName>
    <definedName name="HTML1_8" localSheetId="8">"16.09.97"</definedName>
    <definedName name="HTML1_8" hidden="1">"1997/7/7"</definedName>
    <definedName name="HTML1_9" localSheetId="8">"Christian Wilmers"</definedName>
    <definedName name="HTML1_9" hidden="1">"mis1"</definedName>
    <definedName name="HTML2_1">"'[tracklog.xls]Tracking Log'!$A$1:$U$289"</definedName>
    <definedName name="HTML2_10">"cwilmers@ford.com"</definedName>
    <definedName name="HTML2_11">1</definedName>
    <definedName name="HTML2_12">"H:\dos\pim\cd132log\tracklog.htm"</definedName>
    <definedName name="HTML2_2">1</definedName>
    <definedName name="HTML2_3">"CD132 Tracking Log, Sept. 26, 1997"</definedName>
    <definedName name="HTML2_4">"CD132 Tracking Log, Sept. 26, 1997"</definedName>
    <definedName name="HTML2_5">""</definedName>
    <definedName name="HTML2_6">-4146</definedName>
    <definedName name="HTML2_7">1</definedName>
    <definedName name="HTML2_8">"26.09.97"</definedName>
    <definedName name="HTML2_9">"Christian Wilmers (870-37015)"</definedName>
    <definedName name="HTML3_1">"'[tracklog.xls]Tracking Log'!$A$1:$Z$303"</definedName>
    <definedName name="HTML3_10">"cwilmers@ford.com"</definedName>
    <definedName name="HTML3_11">1</definedName>
    <definedName name="HTML3_12">"H:\dos\pim\cd132log\tracklog.htm"</definedName>
    <definedName name="HTML3_2">1</definedName>
    <definedName name="HTML3_3">"CD132 Tracking Log, October 9, 1997"</definedName>
    <definedName name="HTML3_4">"CD132 Tracking Log, October 9, 1997"</definedName>
    <definedName name="HTML3_5">""</definedName>
    <definedName name="HTML3_6">1</definedName>
    <definedName name="HTML3_7">1</definedName>
    <definedName name="HTML3_8">"09.10.97"</definedName>
    <definedName name="HTML3_9">"Christian Wilmers"</definedName>
    <definedName name="HTML4_1">"'[tracklog.xls]Tracking Log'!$A$1:$AA$305"</definedName>
    <definedName name="HTML4_10">"cwilmers@ford.com"</definedName>
    <definedName name="HTML4_11">1</definedName>
    <definedName name="HTML4_12">"H:\dos\pim\cd132log\tracklog.htm"</definedName>
    <definedName name="HTML4_2">1</definedName>
    <definedName name="HTML4_3">"CD132 Tracking Log, October 17, 1997"</definedName>
    <definedName name="HTML4_4">"CD132 Tracking Log, October 17, 1997"</definedName>
    <definedName name="HTML4_5">""</definedName>
    <definedName name="HTML4_6">1</definedName>
    <definedName name="HTML4_7">1</definedName>
    <definedName name="HTML4_8">"17.10.97"</definedName>
    <definedName name="HTML4_9">"Christian Wilmers"</definedName>
    <definedName name="HTML5_1">"'[tracklog.xls]Tracking Log'!$A$1:$V$305"</definedName>
    <definedName name="HTML5_10">"cwilmers@ford.com"</definedName>
    <definedName name="HTML5_11">1</definedName>
    <definedName name="HTML5_12">"W:\cd132\shared\cd132\pat\pim\MyHTML.htm"</definedName>
    <definedName name="HTML5_2">1</definedName>
    <definedName name="HTML5_3">"Tracking Log"</definedName>
    <definedName name="HTML5_4">"Tracking Log"</definedName>
    <definedName name="HTML5_5">""</definedName>
    <definedName name="HTML5_6">1</definedName>
    <definedName name="HTML5_7">1</definedName>
    <definedName name="HTML5_8">"29.10.97"</definedName>
    <definedName name="HTML5_9">"C. Wilmers"</definedName>
    <definedName name="HTML6_1">"'[tracklog.xls]Tracking Log'!$A$1:$Z$305"</definedName>
    <definedName name="HTML6_10">"cwilmers@ford.com"</definedName>
    <definedName name="HTML6_11">1</definedName>
    <definedName name="HTML6_12">"W:\cd132\shared\cd132\pat\pim\tracklog.htm"</definedName>
    <definedName name="HTML6_2">1</definedName>
    <definedName name="HTML6_3">"Tracking Log, October 31"</definedName>
    <definedName name="HTML6_4">"Tracking Log, October 31"</definedName>
    <definedName name="HTML6_5">""</definedName>
    <definedName name="HTML6_6">1</definedName>
    <definedName name="HTML6_7">1</definedName>
    <definedName name="HTML6_8">"31.10.97"</definedName>
    <definedName name="HTML6_9">"C. Wilmers"</definedName>
    <definedName name="HTMLCount" localSheetId="8">6</definedName>
    <definedName name="HTMLCount" hidden="1">1</definedName>
    <definedName name="HYT" hidden="1">{"RES-2002",#N/A,FALSE,"BL2000";"A1-2002",#N/A,FALSE,"BL2000";"A2-2002",#N/A,FALSE,"BL2000"}</definedName>
    <definedName name="id">#REF!</definedName>
    <definedName name="iii" hidden="1">{#N/A,#N/A,TRUE,"NRE";#N/A,#N/A,TRUE,"Tooling";#N/A,#N/A,TRUE,"Sample";#N/A,#N/A,TRUE,"Fixtures";#N/A,#N/A,TRUE,"Agency";#N/A,#N/A,TRUE,"Personnel"}</definedName>
    <definedName name="ijfojyo" hidden="1">{"'Sheet1'!$A$1:$M$38"}</definedName>
    <definedName name="iol">[15]bobudget!#REF!</definedName>
    <definedName name="Issue_3">#REF!</definedName>
    <definedName name="Issue_4">#REF!</definedName>
    <definedName name="Issued_by">#REF!</definedName>
    <definedName name="Issued_by_1">#REF!</definedName>
    <definedName name="Issued_by_2">#REF!</definedName>
    <definedName name="Issued_by_3">#REF!</definedName>
    <definedName name="Issued_by_4">#REF!</definedName>
    <definedName name="Item_No">#REF!</definedName>
    <definedName name="Jason.ind" hidden="1">{#N/A,#N/A,FALSE,"Tucson_2hdrs";#N/A,#N/A,FALSE,"Tucson_3hdrs";#N/A,#N/A,FALSE,"Tucson_4hdrs";#N/A,#N/A,FALSE,"Tucson_5hdrs";#N/A,#N/A,FALSE,"Tucson_6hrds";#N/A,#N/A,FALSE,"All Headers Cum Yield"}</definedName>
    <definedName name="JFJDJDUEFJ" hidden="1">{#N/A,#N/A,FALSE,"Tucson_2hdrs";#N/A,#N/A,FALSE,"Tucson_3hdrs";#N/A,#N/A,FALSE,"Tucson_4hdrs";#N/A,#N/A,FALSE,"Tucson_5hdrs";#N/A,#N/A,FALSE,"Tucson_6hrds";#N/A,#N/A,FALSE,"All Headers Cum Yield"}</definedName>
    <definedName name="jgkadljfkasljgkasdl" hidden="1">{#N/A,#N/A,FALSE,"Tucson_2hdrs";#N/A,#N/A,FALSE,"Tucson_3hdrs";#N/A,#N/A,FALSE,"Tucson_4hdrs";#N/A,#N/A,FALSE,"Tucson_5hdrs";#N/A,#N/A,FALSE,"Tucson_6hrds";#N/A,#N/A,FALSE,"All Headers Cum Yield"}</definedName>
    <definedName name="JK" hidden="1">{#N/A,#N/A,TRUE,"Y생산";#N/A,#N/A,TRUE,"Y판매";#N/A,#N/A,TRUE,"Y총물량";#N/A,#N/A,TRUE,"Y능력";#N/A,#N/A,TRUE,"YKD"}</definedName>
    <definedName name="jkjij" hidden="1">#REF!</definedName>
    <definedName name="july" hidden="1">{#N/A,#N/A,FALSE,"Tucson_2hdrs";#N/A,#N/A,FALSE,"Tucson_3hdrs";#N/A,#N/A,FALSE,"Tucson_4hdrs";#N/A,#N/A,FALSE,"Tucson_5hdrs";#N/A,#N/A,FALSE,"Tucson_6hrds";#N/A,#N/A,FALSE,"All Headers Cum Yield"}</definedName>
    <definedName name="JW_City">'[16]Fr &amp; Rr Ride Results Averaged'!#REF!</definedName>
    <definedName name="JW_City_1">'[16]Fr &amp; Rr Ride Results Averaged'!#REF!</definedName>
    <definedName name="JW_City_2">'[16]Fr &amp; Rr Ride Results Averaged'!#REF!</definedName>
    <definedName name="JW_City_3">'[16]Fr &amp; Rr Ride Results Averaged'!#REF!</definedName>
    <definedName name="JW_City_4">'[16]Fr &amp; Rr Ride Results Averaged'!#REF!</definedName>
    <definedName name="kapex" hidden="1">{"'Process Flow'!$A$1:$F$1","'Process Flow'!$A$2:$F$2"}</definedName>
    <definedName name="KC0249A" hidden="1">{"'Memo'!$A$1:$M$27"}</definedName>
    <definedName name="KC251新" hidden="1">{#N/A,#N/A,FALSE,"Tucson_2hdrs";#N/A,#N/A,FALSE,"Tucson_3hdrs";#N/A,#N/A,FALSE,"Tucson_4hdrs";#N/A,#N/A,FALSE,"Tucson_5hdrs";#N/A,#N/A,FALSE,"Tucson_6hrds";#N/A,#N/A,FALSE,"All Headers Cum Yield"}</definedName>
    <definedName name="key" hidden="1">#REF!</definedName>
    <definedName name="KING" hidden="1">#REF!</definedName>
    <definedName name="kinji" hidden="1">#REF!</definedName>
    <definedName name="KU" hidden="1">{#N/A,#N/A,TRUE,"Y생산";#N/A,#N/A,TRUE,"Y판매";#N/A,#N/A,TRUE,"Y총물량";#N/A,#N/A,TRUE,"Y능력";#N/A,#N/A,TRUE,"YKD"}</definedName>
    <definedName name="LAB" hidden="1">{#N/A,#N/A,FALSE,"Tucson_2hdrs";#N/A,#N/A,FALSE,"Tucson_3hdrs";#N/A,#N/A,FALSE,"Tucson_4hdrs";#N/A,#N/A,FALSE,"Tucson_5hdrs";#N/A,#N/A,FALSE,"Tucson_6hrds";#N/A,#N/A,FALSE,"All Headers Cum Yield"}</definedName>
    <definedName name="LINE검토2" hidden="1">{#N/A,#N/A,TRUE,"Y생산";#N/A,#N/A,TRUE,"Y판매";#N/A,#N/A,TRUE,"Y총물량";#N/A,#N/A,TRUE,"Y능력";#N/A,#N/A,TRUE,"YKD"}</definedName>
    <definedName name="LKHGFDF" hidden="1">{#N/A,#N/A,TRUE,"Y생산";#N/A,#N/A,TRUE,"Y판매";#N/A,#N/A,TRUE,"Y총물량";#N/A,#N/A,TRUE,"Y능력";#N/A,#N/A,TRUE,"YKD"}</definedName>
    <definedName name="LKJ" hidden="1">{#N/A,#N/A,FALSE,"을지 (4)";#N/A,#N/A,FALSE,"을지 (5)";#N/A,#N/A,FALSE,"을지 (6)"}</definedName>
    <definedName name="LKJLK564KJHK1234567" hidden="1">{#N/A,#N/A,FALSE,"Tucson_2hdrs";#N/A,#N/A,FALSE,"Tucson_3hdrs";#N/A,#N/A,FALSE,"Tucson_4hdrs";#N/A,#N/A,FALSE,"Tucson_5hdrs";#N/A,#N/A,FALSE,"Tucson_6hrds";#N/A,#N/A,FALSE,"All Headers Cum Yield"}</definedName>
    <definedName name="LOOP">[2]main!#REF!</definedName>
    <definedName name="LOOP_1">[2]main!#REF!</definedName>
    <definedName name="LOOP_2">[6]main!#REF!</definedName>
    <definedName name="LOOP_3">[6]main!#REF!</definedName>
    <definedName name="LOOP_4">[2]main!#REF!</definedName>
    <definedName name="lps" hidden="1">{#N/A,#N/A,FALSE,"단축1";#N/A,#N/A,FALSE,"단축2";#N/A,#N/A,FALSE,"단축3";#N/A,#N/A,FALSE,"장축";#N/A,#N/A,FALSE,"4WD"}</definedName>
    <definedName name="MachineNo">#REF!</definedName>
    <definedName name="MachineNo_1">#REF!</definedName>
    <definedName name="MachineNo_2">#REF!</definedName>
    <definedName name="MachineNo_3">#REF!</definedName>
    <definedName name="MachineNo_4">#REF!</definedName>
    <definedName name="MACRO">[1]bobudget!#REF!</definedName>
    <definedName name="MACRO_1">[1]bobudget!#REF!</definedName>
    <definedName name="MACRO_2">[3]bobudget!#REF!</definedName>
    <definedName name="MACRO_3">[3]bobudget!#REF!</definedName>
    <definedName name="MACRO_4">[1]bobudget!#REF!</definedName>
    <definedName name="Mainothers현재" hidden="1">{#N/A,#N/A,TRUE,"NRE";#N/A,#N/A,TRUE,"Tooling";#N/A,#N/A,TRUE,"Sample";#N/A,#N/A,TRUE,"Fixtures";#N/A,#N/A,TRUE,"Agency";#N/A,#N/A,TRUE,"Personnel"}</definedName>
    <definedName name="MainSystem">#REF!</definedName>
    <definedName name="MainSystem_1">#REF!</definedName>
    <definedName name="MainSystem_2">#REF!</definedName>
    <definedName name="MainSystem_3">#REF!</definedName>
    <definedName name="MainSystem_4">#REF!</definedName>
    <definedName name="marc" hidden="1">"MATRA - AUTOMOBILE"</definedName>
    <definedName name="MAT1_1">#REF!</definedName>
    <definedName name="MAT1_2">#REF!</definedName>
    <definedName name="MAT2_1">#REF!</definedName>
    <definedName name="MAT2_2">#REF!</definedName>
    <definedName name="MAT3_1">#REF!</definedName>
    <definedName name="MAT3_2">#REF!</definedName>
    <definedName name="MC">#REF!</definedName>
    <definedName name="MC_1">#REF!</definedName>
    <definedName name="MC_2">#REF!</definedName>
    <definedName name="MC_3">#REF!</definedName>
    <definedName name="MC_4">#REF!</definedName>
    <definedName name="mmm" localSheetId="8" hidden="1">{#N/A,#N/A,TRUE,"RIDE";#N/A,#N/A,TRUE,"STEERING";#N/A,#N/A,TRUE,"HANDLING";#N/A,#N/A,TRUE,"BRAKING"}</definedName>
    <definedName name="model">#REF!</definedName>
    <definedName name="mon" hidden="1">{#N/A,#N/A,FALSE,"Tucson_2hdrs";#N/A,#N/A,FALSE,"Tucson_3hdrs";#N/A,#N/A,FALSE,"Tucson_4hdrs";#N/A,#N/A,FALSE,"Tucson_5hdrs";#N/A,#N/A,FALSE,"Tucson_6hrds";#N/A,#N/A,FALSE,"All Headers Cum Yield"}</definedName>
    <definedName name="monthl" hidden="1">{"'Monthly 1997'!$A$3:$S$89"}</definedName>
    <definedName name="Monthly" hidden="1">{"'Monthly 1997'!$A$3:$S$89"}</definedName>
    <definedName name="MORData">#REF!</definedName>
    <definedName name="MORData_1">#REF!</definedName>
    <definedName name="MORData_2">#REF!</definedName>
    <definedName name="MORData_3">#REF!</definedName>
    <definedName name="MORData_4">#REF!</definedName>
    <definedName name="muroi" hidden="1">#REF!</definedName>
    <definedName name="new" localSheetId="8" hidden="1">{#N/A,#N/A,TRUE,"RIDE";#N/A,#N/A,TRUE,"STEERING";#N/A,#N/A,TRUE,"HANDLING";#N/A,#N/A,TRUE,"BRAKING"}</definedName>
    <definedName name="NEW" hidden="1">#REF!</definedName>
    <definedName name="nh" hidden="1">{#N/A,#N/A,FALSE,"Tucson_2hdrs";#N/A,#N/A,FALSE,"Tucson_3hdrs";#N/A,#N/A,FALSE,"Tucson_4hdrs";#N/A,#N/A,FALSE,"Tucson_5hdrs";#N/A,#N/A,FALSE,"Tucson_6hrds";#N/A,#N/A,FALSE,"All Headers Cum Yield"}</definedName>
    <definedName name="ok" hidden="1">{#N/A,#N/A,FALSE,"Tucson_2hdrs";#N/A,#N/A,FALSE,"Tucson_3hdrs";#N/A,#N/A,FALSE,"Tucson_4hdrs";#N/A,#N/A,FALSE,"Tucson_5hdrs";#N/A,#N/A,FALSE,"Tucson_6hrds";#N/A,#N/A,FALSE,"All Headers Cum Yield"}</definedName>
    <definedName name="oldnewNov5" hidden="1">#REF!</definedName>
    <definedName name="Order2" hidden="1">1</definedName>
    <definedName name="OrderTable" hidden="1">#REF!</definedName>
    <definedName name="Originator">#REF!</definedName>
    <definedName name="OTMenData">#REF!</definedName>
    <definedName name="OTMenData_1">#REF!</definedName>
    <definedName name="OTMenData_2">#REF!</definedName>
    <definedName name="OTMenData_3">#REF!</definedName>
    <definedName name="OTMenData_4">#REF!</definedName>
    <definedName name="Owner">#REF!</definedName>
    <definedName name="p24500_1">#REF!</definedName>
    <definedName name="p24500_2">#REF!</definedName>
    <definedName name="P6改" hidden="1">{"SUM ALL YR",#N/A,FALSE,"SUM ALL YR";"sum01",#N/A,FALSE,"SUM 01";"sumM2",#N/A,FALSE,"SUM M2";"sum02",#N/A,FALSE,"SUM 02";"sum03",#N/A,FALSE,"SUM 03";"sum04",#N/A,FALSE,"SUM 04";"sum05",#N/A,FALSE,"SUM 05"}</definedName>
    <definedName name="PADWN" hidden="1">#REF!</definedName>
    <definedName name="Page">#REF!</definedName>
    <definedName name="Page_1">#REF!</definedName>
    <definedName name="Page_2">#REF!</definedName>
    <definedName name="Page_3">#REF!</definedName>
    <definedName name="Page_4">#REF!</definedName>
    <definedName name="Page_No">'[17]Exhaust System Level'!#REF!</definedName>
    <definedName name="PARAMETER" localSheetId="8" hidden="1">{#N/A,#N/A,TRUE,"RIDE";#N/A,#N/A,TRUE,"STEERING";#N/A,#N/A,TRUE,"HANDLING";#N/A,#N/A,TRUE,"BRAKING"}</definedName>
    <definedName name="PARAMETER_1" localSheetId="8">{#N/A,#N/A,TRUE,"RIDE";#N/A,#N/A,TRUE,"STEERING";#N/A,#N/A,TRUE,"HANDLING";#N/A,#N/A,TRUE,"BRAKING"}</definedName>
    <definedName name="PARAMETER_10" localSheetId="8">{#N/A,#N/A,TRUE,"RIDE";#N/A,#N/A,TRUE,"STEERING";#N/A,#N/A,TRUE,"HANDLING";#N/A,#N/A,TRUE,"BRAKING"}</definedName>
    <definedName name="PARAMETER_11" localSheetId="8">{#N/A,#N/A,TRUE,"RIDE";#N/A,#N/A,TRUE,"STEERING";#N/A,#N/A,TRUE,"HANDLING";#N/A,#N/A,TRUE,"BRAKING"}</definedName>
    <definedName name="PARAMETER_12" localSheetId="8">{#N/A,#N/A,TRUE,"RIDE";#N/A,#N/A,TRUE,"STEERING";#N/A,#N/A,TRUE,"HANDLING";#N/A,#N/A,TRUE,"BRAKING"}</definedName>
    <definedName name="PARAMETER_13" localSheetId="8">{#N/A,#N/A,TRUE,"RIDE";#N/A,#N/A,TRUE,"STEERING";#N/A,#N/A,TRUE,"HANDLING";#N/A,#N/A,TRUE,"BRAKING"}</definedName>
    <definedName name="PARAMETER_2" localSheetId="8">{#N/A,#N/A,TRUE,"RIDE";#N/A,#N/A,TRUE,"STEERING";#N/A,#N/A,TRUE,"HANDLING";#N/A,#N/A,TRUE,"BRAKING"}</definedName>
    <definedName name="PARAMETER_3" localSheetId="8">{#N/A,#N/A,TRUE,"RIDE";#N/A,#N/A,TRUE,"STEERING";#N/A,#N/A,TRUE,"HANDLING";#N/A,#N/A,TRUE,"BRAKING"}</definedName>
    <definedName name="PARAMETER_4" localSheetId="8">{#N/A,#N/A,TRUE,"RIDE";#N/A,#N/A,TRUE,"STEERING";#N/A,#N/A,TRUE,"HANDLING";#N/A,#N/A,TRUE,"BRAKING"}</definedName>
    <definedName name="PARAMETER_5" localSheetId="8">{#N/A,#N/A,TRUE,"RIDE";#N/A,#N/A,TRUE,"STEERING";#N/A,#N/A,TRUE,"HANDLING";#N/A,#N/A,TRUE,"BRAKING"}</definedName>
    <definedName name="PARAMETER_6" localSheetId="8">{#N/A,#N/A,TRUE,"RIDE";#N/A,#N/A,TRUE,"STEERING";#N/A,#N/A,TRUE,"HANDLING";#N/A,#N/A,TRUE,"BRAKING"}</definedName>
    <definedName name="PARAMETER_7" localSheetId="8">{#N/A,#N/A,TRUE,"RIDE";#N/A,#N/A,TRUE,"STEERING";#N/A,#N/A,TRUE,"HANDLING";#N/A,#N/A,TRUE,"BRAKING"}</definedName>
    <definedName name="PARAMETER_8" localSheetId="8">{#N/A,#N/A,TRUE,"RIDE";#N/A,#N/A,TRUE,"STEERING";#N/A,#N/A,TRUE,"HANDLING";#N/A,#N/A,TRUE,"BRAKING"}</definedName>
    <definedName name="PARAMETER_9" localSheetId="8">{#N/A,#N/A,TRUE,"RIDE";#N/A,#N/A,TRUE,"STEERING";#N/A,#N/A,TRUE,"HANDLING";#N/A,#N/A,TRUE,"BRAKING"}</definedName>
    <definedName name="PartName">#REF!</definedName>
    <definedName name="PartName_1">#REF!</definedName>
    <definedName name="PartName_2">#REF!</definedName>
    <definedName name="PartName_3">#REF!</definedName>
    <definedName name="PartName_4">#REF!</definedName>
    <definedName name="PI" hidden="1">{#N/A,#N/A,TRUE,"Y생산";#N/A,#N/A,TRUE,"Y판매";#N/A,#N/A,TRUE,"Y총물량";#N/A,#N/A,TRUE,"Y능력";#N/A,#N/A,TRUE,"YKD"}</definedName>
    <definedName name="Pla" hidden="1">#REF!</definedName>
    <definedName name="plo" hidden="1">255</definedName>
    <definedName name="PPK" hidden="1">{#N/A,#N/A,FALSE,"96 3월물량표";#N/A,#N/A,FALSE,"96 4월물량표";#N/A,#N/A,FALSE,"96 5월물량표"}</definedName>
    <definedName name="PPP" hidden="1">#REF!</definedName>
    <definedName name="pppppppllllllllliiiiiiiiaaaaaakkkkkkkkggggg" hidden="1">{#N/A,#N/A,FALSE,"Tucson_2hdrs";#N/A,#N/A,FALSE,"Tucson_3hdrs";#N/A,#N/A,FALSE,"Tucson_4hdrs";#N/A,#N/A,FALSE,"Tucson_5hdrs";#N/A,#N/A,FALSE,"Tucson_6hrds";#N/A,#N/A,FALSE,"All Headers Cum Yield"}</definedName>
    <definedName name="_xlnm.Print_Area">#REF!</definedName>
    <definedName name="Print_Area_MI_2">#REF!</definedName>
    <definedName name="Print_Area_MI_3">#REF!</definedName>
    <definedName name="Print_Area_MI_4">#REF!</definedName>
    <definedName name="_xlnm.Print_Titles">[18]Template!$A:$A,[18]Template!$1:$1</definedName>
    <definedName name="Print_Titles_MI_2">#REF!</definedName>
    <definedName name="Print_Titles_MI_3">#REF!</definedName>
    <definedName name="Print_Titles_MI_4">#REF!</definedName>
    <definedName name="ProdForm" hidden="1">#REF!</definedName>
    <definedName name="Product" hidden="1">#REF!</definedName>
    <definedName name="Project">#REF!</definedName>
    <definedName name="Project_1">#REF!</definedName>
    <definedName name="Project_2">#REF!</definedName>
    <definedName name="Project_3">#REF!</definedName>
    <definedName name="Project_4">#REF!</definedName>
    <definedName name="Project_code">#REF!</definedName>
    <definedName name="q" localSheetId="8" hidden="1">{#N/A,#N/A,TRUE,"RIDE";#N/A,#N/A,TRUE,"STEERING";#N/A,#N/A,TRUE,"HANDLING";#N/A,#N/A,TRUE,"BRAKING"}</definedName>
    <definedName name="QAW" hidden="1">{#N/A,#N/A,FALSE,"을지 (4)";#N/A,#N/A,FALSE,"을지 (5)";#N/A,#N/A,FALSE,"을지 (6)"}</definedName>
    <definedName name="QE" hidden="1">{#N/A,#N/A,FALSE,"초도품";#N/A,#N/A,FALSE,"초도품 (2)";#N/A,#N/A,FALSE,"초도품 (3)";#N/A,#N/A,FALSE,"초도품 (4)";#N/A,#N/A,FALSE,"초도품 (5)";#N/A,#N/A,FALSE,"초도품 (6)"}</definedName>
    <definedName name="qediohkasdfjlkasdflkasdf" hidden="1">{#N/A,#N/A,FALSE,"Tucson_2hdrs";#N/A,#N/A,FALSE,"Tucson_3hdrs";#N/A,#N/A,FALSE,"Tucson_4hdrs";#N/A,#N/A,FALSE,"Tucson_5hdrs";#N/A,#N/A,FALSE,"Tucson_6hrds";#N/A,#N/A,FALSE,"All Headers Cum Yield"}</definedName>
    <definedName name="qqp" hidden="1">{#N/A,#N/A,FALSE,"Tucson_2hdrs";#N/A,#N/A,FALSE,"Tucson_3hdrs";#N/A,#N/A,FALSE,"Tucson_4hdrs";#N/A,#N/A,FALSE,"Tucson_5hdrs";#N/A,#N/A,FALSE,"Tucson_6hrds";#N/A,#N/A,FALSE,"All Headers Cum Yield"}</definedName>
    <definedName name="QQQAAASSS" hidden="1">{#N/A,#N/A,TRUE,"Y생산";#N/A,#N/A,TRUE,"Y판매";#N/A,#N/A,TRUE,"Y총물량";#N/A,#N/A,TRUE,"Y능력";#N/A,#N/A,TRUE,"YKD"}</definedName>
    <definedName name="QQQQQQQ" hidden="1">{#N/A,#N/A,TRUE,"Y생산";#N/A,#N/A,TRUE,"Y판매";#N/A,#N/A,TRUE,"Y총물량";#N/A,#N/A,TRUE,"Y능력";#N/A,#N/A,TRUE,"YKD"}</definedName>
    <definedName name="QS" hidden="1">{#N/A,#N/A,FALSE,"Tucson_2hdrs";#N/A,#N/A,FALSE,"Tucson_3hdrs";#N/A,#N/A,FALSE,"Tucson_4hdrs";#N/A,#N/A,FALSE,"Tucson_5hdrs";#N/A,#N/A,FALSE,"Tucson_6hrds";#N/A,#N/A,FALSE,"All Headers Cum Yield"}</definedName>
    <definedName name="QSS" hidden="1">{#N/A,#N/A,FALSE,"을지 (4)";#N/A,#N/A,FALSE,"을지 (5)";#N/A,#N/A,FALSE,"을지 (6)"}</definedName>
    <definedName name="qw" localSheetId="8">[10]IND9899!$M$44:$IV$8049</definedName>
    <definedName name="QW" hidden="1">{#N/A,#N/A,FALSE,"을지 (4)";#N/A,#N/A,FALSE,"을지 (5)";#N/A,#N/A,FALSE,"을지 (6)"}</definedName>
    <definedName name="QWA" hidden="1">{#N/A,#N/A,FALSE,"을지 (4)";#N/A,#N/A,FALSE,"을지 (5)";#N/A,#N/A,FALSE,"을지 (6)"}</definedName>
    <definedName name="QWE" hidden="1">{#N/A,#N/A,FALSE,"을지 (4)";#N/A,#N/A,FALSE,"을지 (5)";#N/A,#N/A,FALSE,"을지 (6)"}</definedName>
    <definedName name="R_COVER" hidden="1">{#N/A,#N/A,FALSE,"단축1";#N/A,#N/A,FALSE,"단축2";#N/A,#N/A,FALSE,"단축3";#N/A,#N/A,FALSE,"장축";#N/A,#N/A,FALSE,"4WD"}</definedName>
    <definedName name="RCArea" hidden="1">#REF!</definedName>
    <definedName name="RE" hidden="1">{#N/A,#N/A,FALSE,"초도품";#N/A,#N/A,FALSE,"초도품 (2)";#N/A,#N/A,FALSE,"초도품 (3)";#N/A,#N/A,FALSE,"초도품 (4)";#N/A,#N/A,FALSE,"초도품 (5)";#N/A,#N/A,FALSE,"초도품 (6)"}</definedName>
    <definedName name="RECON_3">#REF!</definedName>
    <definedName name="RECON_4">#REF!</definedName>
    <definedName name="_xlnm.Recorder">#REF!</definedName>
    <definedName name="Rev_Date">#REF!</definedName>
    <definedName name="rev_no">#REF!</definedName>
    <definedName name="RF" hidden="1">{"'A2 Product Specification'!$A$1:$J$157"}</definedName>
    <definedName name="RGASDGAS" hidden="1">{#N/A,#N/A,FALSE,"Tucson_2hdrs";#N/A,#N/A,FALSE,"Tucson_3hdrs";#N/A,#N/A,FALSE,"Tucson_4hdrs";#N/A,#N/A,FALSE,"Tucson_5hdrs";#N/A,#N/A,FALSE,"Tucson_6hrds";#N/A,#N/A,FALSE,"All Headers Cum Yield"}</definedName>
    <definedName name="RKSKDKFLK" hidden="1">{#N/A,#N/A,FALSE,"단축1";#N/A,#N/A,FALSE,"단축2";#N/A,#N/A,FALSE,"단축3";#N/A,#N/A,FALSE,"장축";#N/A,#N/A,FALSE,"4WD"}</definedName>
    <definedName name="RKSKEKF" hidden="1">{#N/A,#N/A,FALSE,"단축1";#N/A,#N/A,FALSE,"단축2";#N/A,#N/A,FALSE,"단축3";#N/A,#N/A,FALSE,"장축";#N/A,#N/A,FALSE,"4WD"}</definedName>
    <definedName name="routerate">[2]main!$A$3:$Q$18</definedName>
    <definedName name="routerate_1">[6]main!$A$3:$Q$18</definedName>
    <definedName name="routerate_2">[2]main!$A$3:$Q$18</definedName>
    <definedName name="ROW">[1]bobudget!#REF!</definedName>
    <definedName name="ROW_1">[1]bobudget!#REF!</definedName>
    <definedName name="ROW_2">[3]bobudget!#REF!</definedName>
    <definedName name="ROW_3">[3]bobudget!#REF!</definedName>
    <definedName name="ROW_4">[1]bobudget!#REF!</definedName>
    <definedName name="ROW2_1">[3]bobudget!#REF!</definedName>
    <definedName name="ROW2_2">[1]bobudget!#REF!</definedName>
    <definedName name="RR.BRAKE" hidden="1">{#N/A,#N/A,FALSE,"단축1";#N/A,#N/A,FALSE,"단축2";#N/A,#N/A,FALSE,"단축3";#N/A,#N/A,FALSE,"장축";#N/A,#N/A,FALSE,"4WD"}</definedName>
    <definedName name="RR.BRK" hidden="1">{#N/A,#N/A,FALSE,"단축1";#N/A,#N/A,FALSE,"단축2";#N/A,#N/A,FALSE,"단축3";#N/A,#N/A,FALSE,"장축";#N/A,#N/A,FALSE,"4WD"}</definedName>
    <definedName name="rrrrr" hidden="1">#REF!</definedName>
    <definedName name="rrrrrrrr" hidden="1">{#N/A,#N/A,FALSE,"Tucson_2hdrs";#N/A,#N/A,FALSE,"Tucson_3hdrs";#N/A,#N/A,FALSE,"Tucson_4hdrs";#N/A,#N/A,FALSE,"Tucson_5hdrs";#N/A,#N/A,FALSE,"Tucson_6hrds";#N/A,#N/A,FALSE,"All Headers Cum Yield"}</definedName>
    <definedName name="Rubber" hidden="1">{#N/A,#N/A,FALSE,"Tucson_2hdrs";#N/A,#N/A,FALSE,"Tucson_3hdrs";#N/A,#N/A,FALSE,"Tucson_4hdrs";#N/A,#N/A,FALSE,"Tucson_5hdrs";#N/A,#N/A,FALSE,"Tucson_6hrds";#N/A,#N/A,FALSE,"All Headers Cum Yield"}</definedName>
    <definedName name="SAD" hidden="1">{#N/A,#N/A,FALSE,"단축1";#N/A,#N/A,FALSE,"단축2";#N/A,#N/A,FALSE,"단축3";#N/A,#N/A,FALSE,"장축";#N/A,#N/A,FALSE,"4WD"}</definedName>
    <definedName name="SAPBEXdnldView" hidden="1">"3RXBBXZTTIC5QPAHMFRV356Z3"</definedName>
    <definedName name="SAPBEXsysID" hidden="1">"HE1"</definedName>
    <definedName name="sat" hidden="1">{#N/A,#N/A,FALSE,"Tucson_2hdrs";#N/A,#N/A,FALSE,"Tucson_3hdrs";#N/A,#N/A,FALSE,"Tucson_4hdrs";#N/A,#N/A,FALSE,"Tucson_5hdrs";#N/A,#N/A,FALSE,"Tucson_6hrds";#N/A,#N/A,FALSE,"All Headers Cum Yield"}</definedName>
    <definedName name="sawrhbAZ" hidden="1">{#N/A,#N/A,FALSE,"단축1";#N/A,#N/A,FALSE,"단축2";#N/A,#N/A,FALSE,"단축3";#N/A,#N/A,FALSE,"장축";#N/A,#N/A,FALSE,"4WD"}</definedName>
    <definedName name="Schedule_New" hidden="1">{"'A2 Product Specification'!$A$1:$J$157"}</definedName>
    <definedName name="SDEGH">#REF!</definedName>
    <definedName name="SDFWG" hidden="1">{#N/A,#N/A,FALSE,"단축1";#N/A,#N/A,FALSE,"단축2";#N/A,#N/A,FALSE,"단축3";#N/A,#N/A,FALSE,"장축";#N/A,#N/A,FALSE,"4WD"}</definedName>
    <definedName name="SDGASDGLHAKSDJLHGALK" hidden="1">{#N/A,#N/A,FALSE,"Tucson_2hdrs";#N/A,#N/A,FALSE,"Tucson_3hdrs";#N/A,#N/A,FALSE,"Tucson_4hdrs";#N/A,#N/A,FALSE,"Tucson_5hdrs";#N/A,#N/A,FALSE,"Tucson_6hrds";#N/A,#N/A,FALSE,"All Headers Cum Yield"}</definedName>
    <definedName name="sdlkajlgkajklgjao142341213" hidden="1">{#N/A,#N/A,FALSE,"Tucson_2hdrs";#N/A,#N/A,FALSE,"Tucson_3hdrs";#N/A,#N/A,FALSE,"Tucson_4hdrs";#N/A,#N/A,FALSE,"Tucson_5hdrs";#N/A,#N/A,FALSE,"Tucson_6hrds";#N/A,#N/A,FALSE,"All Headers Cum Yield"}</definedName>
    <definedName name="segfdfhgf" hidden="1">#REF!</definedName>
    <definedName name="SEGHRTH" hidden="1">{#N/A,#N/A,FALSE,"단축1";#N/A,#N/A,FALSE,"단축2";#N/A,#N/A,FALSE,"단축3";#N/A,#N/A,FALSE,"장축";#N/A,#N/A,FALSE,"4WD"}</definedName>
    <definedName name="she" hidden="1">#REF!</definedName>
    <definedName name="SJMK.">#REF!</definedName>
    <definedName name="SM" hidden="1">{#N/A,#N/A,FALSE,"단축1";#N/A,#N/A,FALSE,"단축2";#N/A,#N/A,FALSE,"단축3";#N/A,#N/A,FALSE,"장축";#N/A,#N/A,FALSE,"4WD"}</definedName>
    <definedName name="SMS" hidden="1">{#N/A,#N/A,FALSE,"단축1";#N/A,#N/A,FALSE,"단축2";#N/A,#N/A,FALSE,"단축3";#N/A,#N/A,FALSE,"장축";#N/A,#N/A,FALSE,"4WD"}</definedName>
    <definedName name="SORT">#REF!</definedName>
    <definedName name="SpecialPrice" hidden="1">#REF!</definedName>
    <definedName name="ss" localSheetId="8">{#N/A,#N/A,TRUE,"RIDE";#N/A,#N/A,TRUE,"STEERING";#N/A,#N/A,TRUE,"HANDLING";#N/A,#N/A,TRUE,"BRAKING"}</definedName>
    <definedName name="ss_1" localSheetId="8">{#N/A,#N/A,TRUE,"RIDE";#N/A,#N/A,TRUE,"STEERING";#N/A,#N/A,TRUE,"HANDLING";#N/A,#N/A,TRUE,"BRAKING"}</definedName>
    <definedName name="ss_10" localSheetId="8">{#N/A,#N/A,TRUE,"RIDE";#N/A,#N/A,TRUE,"STEERING";#N/A,#N/A,TRUE,"HANDLING";#N/A,#N/A,TRUE,"BRAKING"}</definedName>
    <definedName name="ss_11" localSheetId="8">{#N/A,#N/A,TRUE,"RIDE";#N/A,#N/A,TRUE,"STEERING";#N/A,#N/A,TRUE,"HANDLING";#N/A,#N/A,TRUE,"BRAKING"}</definedName>
    <definedName name="ss_12" localSheetId="8">{#N/A,#N/A,TRUE,"RIDE";#N/A,#N/A,TRUE,"STEERING";#N/A,#N/A,TRUE,"HANDLING";#N/A,#N/A,TRUE,"BRAKING"}</definedName>
    <definedName name="ss_13" localSheetId="8">{#N/A,#N/A,TRUE,"RIDE";#N/A,#N/A,TRUE,"STEERING";#N/A,#N/A,TRUE,"HANDLING";#N/A,#N/A,TRUE,"BRAKING"}</definedName>
    <definedName name="ss_2" localSheetId="8">{#N/A,#N/A,TRUE,"RIDE";#N/A,#N/A,TRUE,"STEERING";#N/A,#N/A,TRUE,"HANDLING";#N/A,#N/A,TRUE,"BRAKING"}</definedName>
    <definedName name="ss_3" localSheetId="8">{#N/A,#N/A,TRUE,"RIDE";#N/A,#N/A,TRUE,"STEERING";#N/A,#N/A,TRUE,"HANDLING";#N/A,#N/A,TRUE,"BRAKING"}</definedName>
    <definedName name="ss_4" localSheetId="8">{#N/A,#N/A,TRUE,"RIDE";#N/A,#N/A,TRUE,"STEERING";#N/A,#N/A,TRUE,"HANDLING";#N/A,#N/A,TRUE,"BRAKING"}</definedName>
    <definedName name="ss_5" localSheetId="8">{#N/A,#N/A,TRUE,"RIDE";#N/A,#N/A,TRUE,"STEERING";#N/A,#N/A,TRUE,"HANDLING";#N/A,#N/A,TRUE,"BRAKING"}</definedName>
    <definedName name="ss_6" localSheetId="8">{#N/A,#N/A,TRUE,"RIDE";#N/A,#N/A,TRUE,"STEERING";#N/A,#N/A,TRUE,"HANDLING";#N/A,#N/A,TRUE,"BRAKING"}</definedName>
    <definedName name="ss_7" localSheetId="8">{#N/A,#N/A,TRUE,"RIDE";#N/A,#N/A,TRUE,"STEERING";#N/A,#N/A,TRUE,"HANDLING";#N/A,#N/A,TRUE,"BRAKING"}</definedName>
    <definedName name="ss_8" localSheetId="8">{#N/A,#N/A,TRUE,"RIDE";#N/A,#N/A,TRUE,"STEERING";#N/A,#N/A,TRUE,"HANDLING";#N/A,#N/A,TRUE,"BRAKING"}</definedName>
    <definedName name="ss_9" localSheetId="8">{#N/A,#N/A,TRUE,"RIDE";#N/A,#N/A,TRUE,"STEERING";#N/A,#N/A,TRUE,"HANDLING";#N/A,#N/A,TRUE,"BRAKING"}</definedName>
    <definedName name="sss" localSheetId="8" hidden="1">{#N/A,#N/A,TRUE,"RIDE";#N/A,#N/A,TRUE,"STEERING";#N/A,#N/A,TRUE,"HANDLING";#N/A,#N/A,TRUE,"BRAKING"}</definedName>
    <definedName name="sssss" localSheetId="8" hidden="1">{#N/A,#N/A,TRUE,"RIDE";#N/A,#N/A,TRUE,"STEERING";#N/A,#N/A,TRUE,"HANDLING";#N/A,#N/A,TRUE,"BRAKING"}</definedName>
    <definedName name="startdate">#REF!</definedName>
    <definedName name="Status">#REF!</definedName>
    <definedName name="Status_1">#REF!</definedName>
    <definedName name="Status_2">#REF!</definedName>
    <definedName name="Status_3">#REF!</definedName>
    <definedName name="Status_4">#REF!</definedName>
    <definedName name="sub">#REF!</definedName>
    <definedName name="sub_1">#REF!</definedName>
    <definedName name="sub_2">#REF!</definedName>
    <definedName name="sub_3">#REF!</definedName>
    <definedName name="sub_4">#REF!</definedName>
    <definedName name="subsys">#REF!</definedName>
    <definedName name="SUMMARY">#REF!</definedName>
    <definedName name="SUMMARY_1">#REF!</definedName>
    <definedName name="SUMMARY_2">#REF!</definedName>
    <definedName name="SUMMARY_3">#REF!</definedName>
    <definedName name="SUMMARY_4">#REF!</definedName>
    <definedName name="sung" hidden="1">{"'Monthly 1997'!$A$3:$S$89"}</definedName>
    <definedName name="sung2" hidden="1">{"'Monthly 1997'!$A$3:$S$89"}</definedName>
    <definedName name="Supplier">#REF!</definedName>
    <definedName name="Supplier_1">#REF!</definedName>
    <definedName name="Supplier_2">#REF!</definedName>
    <definedName name="Supplier_3">#REF!</definedName>
    <definedName name="Supplier_4">#REF!</definedName>
    <definedName name="SW" hidden="1">{"'A2 Product Specification'!$A$1:$J$157"}</definedName>
    <definedName name="sys">#REF!</definedName>
    <definedName name="t">#REF!</definedName>
    <definedName name="t_1">#REF!</definedName>
    <definedName name="t_2">#REF!</definedName>
    <definedName name="t_3">#REF!</definedName>
    <definedName name="t_4">#REF!</definedName>
    <definedName name="TA65COSTAT">#REF!</definedName>
    <definedName name="TA65COSTAT_1">#REF!</definedName>
    <definedName name="TA65COSTAT_2">#REF!</definedName>
    <definedName name="TA65COSTAT_3">#REF!</definedName>
    <definedName name="TA65COSTAT_4">#REF!</definedName>
    <definedName name="Target">'[7]Ellesmere Port (08)'!$B$61</definedName>
    <definedName name="tata" hidden="1">{#N/A,#N/A,TRUE,"ENTETE";#N/A,#N/A,TRUE,"COMPOSANTS"}</definedName>
    <definedName name="tbl_ProdInfo" hidden="1">#REF!</definedName>
    <definedName name="TCIC" localSheetId="8" hidden="1">{#N/A,#N/A,TRUE,"RIDE";#N/A,#N/A,TRUE,"STEERING";#N/A,#N/A,TRUE,"HANDLING";#N/A,#N/A,TRUE,"BRAKING"}</definedName>
    <definedName name="Term">#REF!</definedName>
    <definedName name="test">#REF!</definedName>
    <definedName name="test_1">#REF!</definedName>
    <definedName name="test_2">#REF!</definedName>
    <definedName name="test_3">#REF!</definedName>
    <definedName name="test_4">#REF!</definedName>
    <definedName name="THEME2" hidden="1">{#N/A,#N/A,FALSE,"96 3월물량표";#N/A,#N/A,FALSE,"96 4월물량표";#N/A,#N/A,FALSE,"96 5월물량표"}</definedName>
    <definedName name="THIRD">[1]bobudget!#REF!</definedName>
    <definedName name="THIRD_1">[1]bobudget!#REF!</definedName>
    <definedName name="THIRD_2">[3]bobudget!#REF!</definedName>
    <definedName name="THIRD_3">[3]bobudget!#REF!</definedName>
    <definedName name="THIRD_4">[1]bobudget!#REF!</definedName>
    <definedName name="thu" hidden="1">{#N/A,#N/A,FALSE,"Tucson_2hdrs";#N/A,#N/A,FALSE,"Tucson_3hdrs";#N/A,#N/A,FALSE,"Tucson_4hdrs";#N/A,#N/A,FALSE,"Tucson_5hdrs";#N/A,#N/A,FALSE,"Tucson_6hrds";#N/A,#N/A,FALSE,"All Headers Cum Yield"}</definedName>
    <definedName name="TI" hidden="1">{#N/A,#N/A,FALSE,"Tucson_2hdrs";#N/A,#N/A,FALSE,"Tucson_3hdrs";#N/A,#N/A,FALSE,"Tucson_4hdrs";#N/A,#N/A,FALSE,"Tucson_5hdrs";#N/A,#N/A,FALSE,"Tucson_6hrds";#N/A,#N/A,FALSE,"All Headers Cum Yield"}</definedName>
    <definedName name="TJAUDLWS" hidden="1">{#N/A,#N/A,TRUE,"Y생산";#N/A,#N/A,TRUE,"Y판매";#N/A,#N/A,TRUE,"Y총물량";#N/A,#N/A,TRUE,"Y능력";#N/A,#N/A,TRUE,"YKD"}</definedName>
    <definedName name="TNP_City">'[16]Fr &amp; Rr Ride Results Averaged'!#REF!</definedName>
    <definedName name="TNP_City_1">'[16]Fr &amp; Rr Ride Results Averaged'!#REF!</definedName>
    <definedName name="TNP_City_2">'[16]Fr &amp; Rr Ride Results Averaged'!#REF!</definedName>
    <definedName name="TNP_City_3">'[16]Fr &amp; Rr Ride Results Averaged'!#REF!</definedName>
    <definedName name="TNP_City_4">'[16]Fr &amp; Rr Ride Results Averaged'!#REF!</definedName>
    <definedName name="TOC_DESCRIPTION">[19]TOC!$B$4</definedName>
    <definedName name="TOC_MODELYEAR">[19]TOC!$B$5</definedName>
    <definedName name="TOC_NUMBER">[19]TOC!$D$6</definedName>
    <definedName name="TOC_VEHICLE">[19]TOC!$B$6</definedName>
    <definedName name="TomTom" hidden="1">{"'A2 Product Specification'!$A$1:$J$157"}</definedName>
    <definedName name="Tools" hidden="1">{"EXPORT",#N/A,FALSE,"A8CONTENT"}</definedName>
    <definedName name="TORSION" hidden="1">{#N/A,#N/A,FALSE,"단축1";#N/A,#N/A,FALSE,"단축2";#N/A,#N/A,FALSE,"단축3";#N/A,#N/A,FALSE,"장축";#N/A,#N/A,FALSE,"4WD"}</definedName>
    <definedName name="toto" hidden="1">{#N/A,#N/A,TRUE,"ENTETE";#N/A,#N/A,TRUE,"COMPOSANTS"}</definedName>
    <definedName name="tousi" hidden="1">{"RES-2002",#N/A,FALSE,"BL2000";"A1-2002",#N/A,FALSE,"BL2000";"A2-2002",#N/A,FALSE,"BL2000"}</definedName>
    <definedName name="trim" hidden="1">#REF!</definedName>
    <definedName name="trim1" hidden="1">#REF!</definedName>
    <definedName name="TRNo_3">#REF!</definedName>
    <definedName name="TRNo_4">#REF!</definedName>
    <definedName name="ttt" hidden="1">{#N/A,#N/A,TRUE,"NRE";#N/A,#N/A,TRUE,"Tooling";#N/A,#N/A,TRUE,"Sample";#N/A,#N/A,TRUE,"Fixtures";#N/A,#N/A,TRUE,"Agency";#N/A,#N/A,TRUE,"Personnel"}</definedName>
    <definedName name="tube">'[20]201consfdymar'!#REF!</definedName>
    <definedName name="tube_1">'[20]201consfdymar'!#REF!</definedName>
    <definedName name="tube_2">'[21]201consfdymar'!#REF!</definedName>
    <definedName name="tube_3">'[21]201consfdymar'!#REF!</definedName>
    <definedName name="tube_4">'[20]201consfdymar'!#REF!</definedName>
    <definedName name="tue" hidden="1">{#N/A,#N/A,FALSE,"Tucson_2hdrs";#N/A,#N/A,FALSE,"Tucson_3hdrs";#N/A,#N/A,FALSE,"Tucson_4hdrs";#N/A,#N/A,FALSE,"Tucson_5hdrs";#N/A,#N/A,FALSE,"Tucson_6hrds";#N/A,#N/A,FALSE,"All Headers Cum Yield"}</definedName>
    <definedName name="Turnover___2001_02">[2]main!$B$50:$W$91</definedName>
    <definedName name="Turnover___2001_02_1">[6]main!$B$50:$W$91</definedName>
    <definedName name="Turnover___2001_02_2">[2]main!$B$50:$W$91</definedName>
    <definedName name="UCCOST">[2]main!$A$1:$J$361</definedName>
    <definedName name="UCCOST_1">[6]main!$A$1:$J$361</definedName>
    <definedName name="UCCOST_2">[2]main!$A$1:$J$361</definedName>
    <definedName name="UQ">#REF!</definedName>
    <definedName name="UQ_1">#REF!</definedName>
    <definedName name="UQ_2">#REF!</definedName>
    <definedName name="UQ_3">#REF!</definedName>
    <definedName name="UQ_4">#REF!</definedName>
    <definedName name="UYR" hidden="1">{#N/A,#N/A,FALSE,"단축1";#N/A,#N/A,FALSE,"단축2";#N/A,#N/A,FALSE,"단축3";#N/A,#N/A,FALSE,"장축";#N/A,#N/A,FALSE,"4WD"}</definedName>
    <definedName name="Vehicle">#REF!</definedName>
    <definedName name="Vehicle_1">#REF!</definedName>
    <definedName name="Vehicle_2">#REF!</definedName>
    <definedName name="Vehicle_3">#REF!</definedName>
    <definedName name="Vehicle_4">#REF!</definedName>
    <definedName name="vertex42_copyright" hidden="1">"© 2017 Vertex42 LLC"</definedName>
    <definedName name="vertex42_id" hidden="1">"project-planner.xlsx"</definedName>
    <definedName name="vertex42_title" hidden="1">"Project Planner Template"</definedName>
    <definedName name="vf" hidden="1">{#N/A,#N/A,TRUE,"ENTETE";#N/A,#N/A,TRUE,"COMPOSANTS"}</definedName>
    <definedName name="volume2" hidden="1">{"SUM GER",#N/A,FALSE,"SUM GER";"SUM FRA",#N/A,FALSE,"SUM FRA";"SUM ITA",#N/A,FALSE,"SUM ITA";"SUM SPA",#N/A,FALSE,"SUM SPA";"SUM EGB",#N/A,FALSE,"SUM EGB";"SUM IND",#N/A,FALSE,"SUM IND"}</definedName>
    <definedName name="vv" localSheetId="8" hidden="1">{#N/A,#N/A,TRUE,"RIDE";#N/A,#N/A,TRUE,"STEERING";#N/A,#N/A,TRUE,"HANDLING";#N/A,#N/A,TRUE,"BRAKING"}</definedName>
    <definedName name="vvd" localSheetId="8" hidden="1">{#N/A,#N/A,TRUE,"RIDE";#N/A,#N/A,TRUE,"STEERING";#N/A,#N/A,TRUE,"HANDLING";#N/A,#N/A,TRUE,"BRAKING"}</definedName>
    <definedName name="VVV" hidden="1">{#N/A,#N/A,TRUE,"Y생산";#N/A,#N/A,TRUE,"Y판매";#N/A,#N/A,TRUE,"Y총물량";#N/A,#N/A,TRUE,"Y능력";#N/A,#N/A,TRUE,"YKD"}</definedName>
    <definedName name="vwsc" hidden="1">{"'A2 Product Specification'!$A$1:$J$157"}</definedName>
    <definedName name="VYVY" hidden="1">{#N/A,#N/A,FALSE,"단축1";#N/A,#N/A,FALSE,"단축2";#N/A,#N/A,FALSE,"단축3";#N/A,#N/A,FALSE,"장축";#N/A,#N/A,FALSE,"4WD"}</definedName>
    <definedName name="w4ecinadmksdasf" hidden="1">{#N/A,#N/A,FALSE,"Tucson_2hdrs";#N/A,#N/A,FALSE,"Tucson_3hdrs";#N/A,#N/A,FALSE,"Tucson_4hdrs";#N/A,#N/A,FALSE,"Tucson_5hdrs";#N/A,#N/A,FALSE,"Tucson_6hrds";#N/A,#N/A,FALSE,"All Headers Cum Yield"}</definedName>
    <definedName name="W61C" hidden="1">{"AnaM1",#N/A,FALSE,"AnalisisM";"AnaM2",#N/A,FALSE,"AnalisisM";"AnaM3",#N/A,FALSE,"AnalisisM"}</definedName>
    <definedName name="W61C直接固定費" hidden="1">{"SUM GER",#N/A,FALSE,"SUM GER";"SUM FRA",#N/A,FALSE,"SUM FRA";"SUM ITA",#N/A,FALSE,"SUM ITA";"SUM SPA",#N/A,FALSE,"SUM SPA";"SUM EGB",#N/A,FALSE,"SUM EGB";"SUM IND",#N/A,FALSE,"SUM IND"}</definedName>
    <definedName name="WA" hidden="1">{#N/A,#N/A,FALSE,"초도품";#N/A,#N/A,FALSE,"초도품 (2)";#N/A,#N/A,FALSE,"초도품 (3)";#N/A,#N/A,FALSE,"초도품 (4)";#N/A,#N/A,FALSE,"초도품 (5)";#N/A,#N/A,FALSE,"초도품 (6)"}</definedName>
    <definedName name="WE" hidden="1">{#N/A,#N/A,FALSE,"을지 (4)";#N/A,#N/A,FALSE,"을지 (5)";#N/A,#N/A,FALSE,"을지 (6)"}</definedName>
    <definedName name="WEARF" hidden="1">{#N/A,#N/A,TRUE,"Y생산";#N/A,#N/A,TRUE,"Y판매";#N/A,#N/A,TRUE,"Y총물량";#N/A,#N/A,TRUE,"Y능력";#N/A,#N/A,TRUE,"YKD"}</definedName>
    <definedName name="wed" hidden="1">{#N/A,#N/A,FALSE,"Tucson_2hdrs";#N/A,#N/A,FALSE,"Tucson_3hdrs";#N/A,#N/A,FALSE,"Tucson_4hdrs";#N/A,#N/A,FALSE,"Tucson_5hdrs";#N/A,#N/A,FALSE,"Tucson_6hrds";#N/A,#N/A,FALSE,"All Headers Cum Yield"}</definedName>
    <definedName name="WHRL" hidden="1">{#N/A,#N/A,FALSE,"단축1";#N/A,#N/A,FALSE,"단축2";#N/A,#N/A,FALSE,"단축3";#N/A,#N/A,FALSE,"장축";#N/A,#N/A,FALSE,"4WD"}</definedName>
    <definedName name="WIP1_1">#REF!</definedName>
    <definedName name="WIP1_2">#REF!</definedName>
    <definedName name="WIP2_1">#REF!</definedName>
    <definedName name="WIP2_2">#REF!</definedName>
    <definedName name="wires">#REF!</definedName>
    <definedName name="wires_1">#REF!</definedName>
    <definedName name="wires_2">#REF!</definedName>
    <definedName name="wires_3">#REF!</definedName>
    <definedName name="wires_4">#REF!</definedName>
    <definedName name="wiress">#REF!</definedName>
    <definedName name="wiress_1">#REF!</definedName>
    <definedName name="wiress_2">#REF!</definedName>
    <definedName name="wiress_3">#REF!</definedName>
    <definedName name="wiress_4">#REF!</definedName>
    <definedName name="WQ" hidden="1">{#N/A,#N/A,FALSE,"을지 (4)";#N/A,#N/A,FALSE,"을지 (5)";#N/A,#N/A,FALSE,"을지 (6)"}</definedName>
    <definedName name="wqerqf" hidden="1">{#N/A,#N/A,FALSE,"Tucson_2hdrs";#N/A,#N/A,FALSE,"Tucson_3hdrs";#N/A,#N/A,FALSE,"Tucson_4hdrs";#N/A,#N/A,FALSE,"Tucson_5hdrs";#N/A,#N/A,FALSE,"Tucson_6hrds";#N/A,#N/A,FALSE,"All Headers Cum Yield"}</definedName>
    <definedName name="writedn">[12]finalised!$B$537</definedName>
    <definedName name="writedn_1">[13]finalised!$B$537</definedName>
    <definedName name="writedn_2">[12]finalised!$B$537</definedName>
    <definedName name="wrn.00._.PD2._.Final._.Report." hidden="1">{#N/A,#N/A,FALSE,"Checklist";#N/A,#N/A,FALSE,"Approval Page";#N/A,#N/A,FALSE,"PD2 Cover Sheet";#N/A,#N/A,FALSE,"PD2";#N/A,#N/A,FALSE,"Summary";#N/A,#N/A,FALSE,"Program Deliverables";#N/A,#N/A,FALSE,"Labor Model";#N/A,#N/A,FALSE,"Testing 3A";#N/A,#N/A,FALSE,"Testing 3B";#N/A,#N/A,FALSE,"Testing 3C";#N/A,#N/A,FALSE,"FEA";#N/A,#N/A,FALSE,"BOM 3A";#N/A,#N/A,FALSE,"BOM 3B";#N/A,#N/A,FALSE,"BOM 3C"}</definedName>
    <definedName name="wrn.1._.Program._.Deliverables." hidden="1">{#N/A,#N/A,FALSE,"Program Deliverables"}</definedName>
    <definedName name="wrn.1._.TODO." hidden="1">{"BL2000",#N/A,FALSE,"BL2000";"PL2000",#N/A,FALSE,"BL2000";"PT2000",#N/A,FALSE,"BL2000";"INCPRE2000",#N/A,FALSE,"BL2000";"COMNUS2000",#N/A,FALSE,"BL2000";"COMJPN2000",#N/A,FALSE,"BL2000";"B10-2000",#N/A,FALSE,"BL2000"}</definedName>
    <definedName name="wrn.1TODO."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2._.Labor._.Model." hidden="1">{#N/A,#N/A,FALSE,"Labor Model"}</definedName>
    <definedName name="wrn.2000." hidden="1">{"RES-2000",#N/A,FALSE,"BL2000";"A1-2000",#N/A,FALSE,"BL2000";"A2-2000",#N/A,FALSE,"BL2000"}</definedName>
    <definedName name="wrn.2001." hidden="1">{"RES-2001",#N/A,FALSE,"BL2000";"A1-2001",#N/A,FALSE,"BL2000";"A2-2001",#N/A,FALSE,"BL2000"}</definedName>
    <definedName name="wrn.2002." hidden="1">{"RES-2002",#N/A,FALSE,"BL2000";"A1-2002",#N/A,FALSE,"BL2000";"A2-2002",#N/A,FALSE,"BL2000"}</definedName>
    <definedName name="wrn.2003." hidden="1">{"RES-2002",#N/A,FALSE,"BL2000";"A1-2002",#N/A,FALSE,"BL2000";"A2-2002",#N/A,FALSE,"BL2000"}</definedName>
    <definedName name="wrn.3._.BOM._.Phase._.3A." hidden="1">{#N/A,#N/A,FALSE,"BOM 3A"}</definedName>
    <definedName name="wrn.345." hidden="1">{#N/A,#N/A,FALSE,"96 3월물량표";#N/A,#N/A,FALSE,"96 4월물량표";#N/A,#N/A,FALSE,"96 5월물량표"}</definedName>
    <definedName name="wrn.4._.BOM._.Phase._.3B." hidden="1">{#N/A,#N/A,FALSE,"BOM 3B"}</definedName>
    <definedName name="wrn.5._.BOM._.Phase._.3C." hidden="1">{#N/A,#N/A,FALSE,"BOM 3C"}</definedName>
    <definedName name="wrn.6._.Testing._.Phase._.3A." hidden="1">{#N/A,#N/A,FALSE,"Testing 3A"}</definedName>
    <definedName name="wrn.7._.Testing._.Phase._.3B." hidden="1">{#N/A,#N/A,FALSE,"Testing 3B"}</definedName>
    <definedName name="wrn.8._.Testing._.Phase._.3C." hidden="1">{#N/A,#N/A,FALSE,"Testing 3C"}</definedName>
    <definedName name="wrn.9._.FEA." hidden="1">{#N/A,#N/A,FALSE,"FEA"}</definedName>
    <definedName name="wrn.ACUMULADOS." hidden="1">{"CTO ACUMULADO",#N/A,FALSE,"BASE ANEXOS";"VAR ACUMULADAS",#N/A,FALSE,"BASE ANEXOS"}</definedName>
    <definedName name="wrn.Analisis._.Acumulado." hidden="1">{"Ana1",#N/A,FALSE,"AnalisisA";"Ana2",#N/A,FALSE,"AnalisisA";"Ana3",#N/A,FALSE,"AnalisisA"}</definedName>
    <definedName name="wrn.Analisis._.Mensual." hidden="1">{"AnaM1",#N/A,FALSE,"AnalisisM";"AnaM2",#N/A,FALSE,"AnalisisM";"AnaM3",#N/A,FALSE,"AnalisisM"}</definedName>
    <definedName name="wrn.AU._.검사성적서." hidden="1">{#N/A,#N/A,FALSE,"을지 (4)";#N/A,#N/A,FALSE,"을지 (5)";#N/A,#N/A,FALSE,"을지 (6)"}</definedName>
    <definedName name="wrn.AU._.초도품._.보증서." hidden="1">{#N/A,#N/A,FALSE,"초도품";#N/A,#N/A,FALSE,"초도품 (2)";#N/A,#N/A,FALSE,"초도품 (3)";#N/A,#N/A,FALSE,"초도품 (4)";#N/A,#N/A,FALSE,"초도품 (5)";#N/A,#N/A,FALSE,"초도품 (6)"}</definedName>
    <definedName name="wrn.B10." hidden="1">{"B10-2000",#N/A,FALSE,"BL2000"}</definedName>
    <definedName name="wrn.BL." hidden="1">{"BL2000",#N/A,FALSE,"BL2000"}</definedName>
    <definedName name="wrn.BOMs." hidden="1">{#N/A,#N/A,FALSE,"BOM 3A";#N/A,#N/A,FALSE,"BOM 3B";#N/A,#N/A,FALSE,"BOM 3C"}</definedName>
    <definedName name="wrn.BY._.COUNTRY._.BY._.ENGINE._.BY._.YEAR." hidden="1">{"SUM GER",#N/A,FALSE,"SUM GER";"SUM FRA",#N/A,FALSE,"SUM FRA";"SUM ITA",#N/A,FALSE,"SUM ITA";"SUM SPA",#N/A,FALSE,"SUM SPA";"SUM EGB",#N/A,FALSE,"SUM EGB";"SUM IND",#N/A,FALSE,"SUM IND"}</definedName>
    <definedName name="wrn.BY._.YEAR._.BY._.COUNTRY." hidden="1">{"SUM ALL YR",#N/A,FALSE,"SUM ALL YR";"sum01",#N/A,FALSE,"SUM 01";"sumM2",#N/A,FALSE,"SUM M2";"sum02",#N/A,FALSE,"SUM 02";"sum03",#N/A,FALSE,"SUM 03";"sum04",#N/A,FALSE,"SUM 04";"sum05",#N/A,FALSE,"SUM 05"}</definedName>
    <definedName name="wrn.COMNUS." hidden="1">{"COMNUS2000",#N/A,FALSE,"BL2000"}</definedName>
    <definedName name="wrn.COMPJPN." hidden="1">{"COMJPN2000",#N/A,FALSE,"BL2000"}</definedName>
    <definedName name="wrn.Costos." hidden="1">{"Costo1",#N/A,FALSE,"Costo Estimado";"Costo2",#N/A,FALSE,"Costo Estimado";"Costos3",#N/A,FALSE,"Costo Estimado";"Costo4",#N/A,FALSE,"Costo Estimado"}</definedName>
    <definedName name="wrn.DOM." hidden="1">{"DOM",#N/A,FALSE,"A8CONTENT"}</definedName>
    <definedName name="wrn.Entire._.Workbk._.incl._.support._.pgs." hidden="1">{#N/A,#N/A,FALSE,"Program Deliverables";#N/A,#N/A,FALSE,"Labor Model";#N/A,#N/A,FALSE,"BOM 3A";#N/A,#N/A,FALSE,"BOM 3B";#N/A,#N/A,FALSE,"BOM 3C";#N/A,#N/A,FALSE,"FEA";#N/A,#N/A,FALSE,"Testing 3A";#N/A,#N/A,FALSE,"Testing 3B";#N/A,#N/A,FALSE,"Testing 3C";#N/A,#N/A,FALSE,"Summary";#N/A,#N/A,FALSE,"Instructions--&gt;";#N/A,#N/A,FALSE,"Approval Page";#N/A,#N/A,FALSE,"PD2 Cover Sheet";#N/A,#N/A,FALSE,"PD2";#N/A,#N/A,FALSE,"Recovery Support";#N/A,#N/A,FALSE,"Phase To Month";#N/A,#N/A,FALSE,"Cost per Month";#N/A,#N/A,FALSE,"Fiscal Calendar";#N/A,#N/A,FALSE,"Prototype Support";#N/A,#N/A,FALSE,"Labor Support";#N/A,#N/A,FALSE,"BOM Support";#N/A,#N/A,FALSE,"FEA,TEST Support"}</definedName>
    <definedName name="wrn.EXPORT." hidden="1">{"EXPORT",#N/A,FALSE,"A8CONTENT"}</definedName>
    <definedName name="wrn.HS_USA." hidden="1">{"HS_USA",#N/A,FALSE,"Base"}</definedName>
    <definedName name="wrn.Hurricane._.Project._.NRE." hidden="1">{#N/A,#N/A,TRUE,"NRE";#N/A,#N/A,TRUE,"Tooling";#N/A,#N/A,TRUE,"Sample";#N/A,#N/A,TRUE,"Fixtures";#N/A,#N/A,TRUE,"Agency";#N/A,#N/A,TRUE,"Personnel"}</definedName>
    <definedName name="wrn.INCPRE." hidden="1">{"INCPRE2000",#N/A,FALSE,"BL2000"}</definedName>
    <definedName name="wrn.ind." hidden="1">{#N/A,#N/A,FALSE,"Tucson_2hdrs";#N/A,#N/A,FALSE,"Tucson_3hdrs";#N/A,#N/A,FALSE,"Tucson_4hdrs";#N/A,#N/A,FALSE,"Tucson_5hdrs";#N/A,#N/A,FALSE,"Tucson_6hrds";#N/A,#N/A,FALSE,"All Headers Cum Yield"}</definedName>
    <definedName name="wrn.MENSUALES." hidden="1">{"CTO MES ACTUAL",#N/A,FALSE,"BASE ANEXOS";"VAR MES ACT",#N/A,FALSE,"BASE ANEXOS"}</definedName>
    <definedName name="wrn.PL." hidden="1">{"PL2000",#N/A,FALSE,"BL2000"}</definedName>
    <definedName name="wrn.PlanAchatDR0." hidden="1">{#N/A,#N/A,TRUE,"ENTETE";#N/A,#N/A,TRUE,"COMPOSANTS"}</definedName>
    <definedName name="wrn.PRINT2."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T." hidden="1">{"PT2000",#N/A,FALSE,"BL2000"}</definedName>
    <definedName name="wrn.RESUMENES." hidden="1">{"RESUMEN",#N/A,FALSE,"BASE ANEXOS";"ANEXO 1",#N/A,FALSE,"BASE ANEXOS";"ANEXO 2",#N/A,FALSE,"BASE ANEXOS"}</definedName>
    <definedName name="wrn.Summary." hidden="1">{#N/A,#N/A,FALSE,"Change History";#N/A,#N/A,FALSE,"Approval Page";#N/A,#N/A,FALSE,"PD2 Cover Sheet";#N/A,#N/A,FALSE,"Summary"}</definedName>
    <definedName name="wrn.target." localSheetId="8" hidden="1">{#N/A,#N/A,TRUE,"RIDE";#N/A,#N/A,TRUE,"STEERING";#N/A,#N/A,TRUE,"HANDLING";#N/A,#N/A,TRUE,"BRAKING"}</definedName>
    <definedName name="wrn.target._1" localSheetId="8">{#N/A,#N/A,TRUE,"RIDE";#N/A,#N/A,TRUE,"STEERING";#N/A,#N/A,TRUE,"HANDLING";#N/A,#N/A,TRUE,"BRAKING"}</definedName>
    <definedName name="wrn.target._10" localSheetId="8">{#N/A,#N/A,TRUE,"RIDE";#N/A,#N/A,TRUE,"STEERING";#N/A,#N/A,TRUE,"HANDLING";#N/A,#N/A,TRUE,"BRAKING"}</definedName>
    <definedName name="wrn.target._11" localSheetId="8">{#N/A,#N/A,TRUE,"RIDE";#N/A,#N/A,TRUE,"STEERING";#N/A,#N/A,TRUE,"HANDLING";#N/A,#N/A,TRUE,"BRAKING"}</definedName>
    <definedName name="wrn.target._12" localSheetId="8">{#N/A,#N/A,TRUE,"RIDE";#N/A,#N/A,TRUE,"STEERING";#N/A,#N/A,TRUE,"HANDLING";#N/A,#N/A,TRUE,"BRAKING"}</definedName>
    <definedName name="wrn.target._13" localSheetId="8">{#N/A,#N/A,TRUE,"RIDE";#N/A,#N/A,TRUE,"STEERING";#N/A,#N/A,TRUE,"HANDLING";#N/A,#N/A,TRUE,"BRAKING"}</definedName>
    <definedName name="wrn.target._2" localSheetId="8">{#N/A,#N/A,TRUE,"RIDE";#N/A,#N/A,TRUE,"STEERING";#N/A,#N/A,TRUE,"HANDLING";#N/A,#N/A,TRUE,"BRAKING"}</definedName>
    <definedName name="wrn.target._3" localSheetId="8">{#N/A,#N/A,TRUE,"RIDE";#N/A,#N/A,TRUE,"STEERING";#N/A,#N/A,TRUE,"HANDLING";#N/A,#N/A,TRUE,"BRAKING"}</definedName>
    <definedName name="wrn.target._4" localSheetId="8">{#N/A,#N/A,TRUE,"RIDE";#N/A,#N/A,TRUE,"STEERING";#N/A,#N/A,TRUE,"HANDLING";#N/A,#N/A,TRUE,"BRAKING"}</definedName>
    <definedName name="wrn.target._5" localSheetId="8">{#N/A,#N/A,TRUE,"RIDE";#N/A,#N/A,TRUE,"STEERING";#N/A,#N/A,TRUE,"HANDLING";#N/A,#N/A,TRUE,"BRAKING"}</definedName>
    <definedName name="wrn.target._6" localSheetId="8">{#N/A,#N/A,TRUE,"RIDE";#N/A,#N/A,TRUE,"STEERING";#N/A,#N/A,TRUE,"HANDLING";#N/A,#N/A,TRUE,"BRAKING"}</definedName>
    <definedName name="wrn.target._7" localSheetId="8">{#N/A,#N/A,TRUE,"RIDE";#N/A,#N/A,TRUE,"STEERING";#N/A,#N/A,TRUE,"HANDLING";#N/A,#N/A,TRUE,"BRAKING"}</definedName>
    <definedName name="wrn.target._8" localSheetId="8">{#N/A,#N/A,TRUE,"RIDE";#N/A,#N/A,TRUE,"STEERING";#N/A,#N/A,TRUE,"HANDLING";#N/A,#N/A,TRUE,"BRAKING"}</definedName>
    <definedName name="wrn.target._9" localSheetId="8">{#N/A,#N/A,TRUE,"RIDE";#N/A,#N/A,TRUE,"STEERING";#N/A,#N/A,TRUE,"HANDLING";#N/A,#N/A,TRUE,"BRAKING"}</definedName>
    <definedName name="wrn.Testing." hidden="1">{#N/A,#N/A,FALSE,"Testing 3A";#N/A,#N/A,FALSE,"Testing 3B";#N/A,#N/A,FALSE,"Testing 3C"}</definedName>
    <definedName name="wrn.Y차._.종합." hidden="1">{#N/A,#N/A,TRUE,"Y생산";#N/A,#N/A,TRUE,"Y판매";#N/A,#N/A,TRUE,"Y총물량";#N/A,#N/A,TRUE,"Y능력";#N/A,#N/A,TRUE,"YKD"}</definedName>
    <definedName name="wrn.신규dep._.full._.set." hidden="1">{#N/A,#N/A,FALSE,"신규dep";#N/A,#N/A,FALSE,"신규dep-금형상각후";#N/A,#N/A,FALSE,"신규dep-연구비상각후";#N/A,#N/A,FALSE,"신규dep-기계,공구상각후"}</definedName>
    <definedName name="wrn.전부인쇄." hidden="1">{#N/A,#N/A,FALSE,"단축1";#N/A,#N/A,FALSE,"단축2";#N/A,#N/A,FALSE,"단축3";#N/A,#N/A,FALSE,"장축";#N/A,#N/A,FALSE,"4WD"}</definedName>
    <definedName name="ww"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wwwww" hidden="1">{"INCPRE2000",#N/A,FALSE,"BL2000"}</definedName>
    <definedName name="wwwwwww" hidden="1">{"HS_USA",#N/A,FALSE,"Base"}</definedName>
    <definedName name="wwwwwwwww" hidden="1">{"CTO MES ACTUAL",#N/A,FALSE,"BASE ANEXOS";"VAR MES ACT",#N/A,FALSE,"BASE ANEXOS"}</definedName>
    <definedName name="wwwwwwwwww" hidden="1">{"PL2000",#N/A,FALSE,"BL2000"}</definedName>
    <definedName name="xc" hidden="1">{#N/A,#N/A,FALSE,"Tucson_2hdrs";#N/A,#N/A,FALSE,"Tucson_3hdrs";#N/A,#N/A,FALSE,"Tucson_4hdrs";#N/A,#N/A,FALSE,"Tucson_5hdrs";#N/A,#N/A,FALSE,"Tucson_6hrds";#N/A,#N/A,FALSE,"All Headers Cum Yield"}</definedName>
    <definedName name="XDS" hidden="1">{#N/A,#N/A,FALSE,"을지 (4)";#N/A,#N/A,FALSE,"을지 (5)";#N/A,#N/A,FALSE,"을지 (6)"}</definedName>
    <definedName name="XS" hidden="1">{#N/A,#N/A,FALSE,"을지 (4)";#N/A,#N/A,FALSE,"을지 (5)";#N/A,#N/A,FALSE,"을지 (6)"}</definedName>
    <definedName name="xxx" localSheetId="8">#REF!</definedName>
    <definedName name="xxx" hidden="1">{#N/A,#N/A,TRUE,"NRE";#N/A,#N/A,TRUE,"Tooling";#N/A,#N/A,TRUE,"Sample";#N/A,#N/A,TRUE,"Fixtures";#N/A,#N/A,TRUE,"Agency";#N/A,#N/A,TRUE,"Personnel"}</definedName>
    <definedName name="xxx_1">#REF!</definedName>
    <definedName name="xxx_2">#REF!</definedName>
    <definedName name="xxx_3">#REF!</definedName>
    <definedName name="xxx_4">#REF!</definedName>
    <definedName name="xxxx">#REF!</definedName>
    <definedName name="xxxx_1">#REF!</definedName>
    <definedName name="xxxx_2">#REF!</definedName>
    <definedName name="xxxx_3">#REF!</definedName>
    <definedName name="xxxx_4">#REF!</definedName>
    <definedName name="xyz">[10]IND9899!$M$9:$IV$8049</definedName>
    <definedName name="YTUJYTU" hidden="1">{#N/A,#N/A,FALSE,"단축1";#N/A,#N/A,FALSE,"단축2";#N/A,#N/A,FALSE,"단축3";#N/A,#N/A,FALSE,"장축";#N/A,#N/A,FALSE,"4WD"}</definedName>
    <definedName name="YYY" hidden="1">{#N/A,#N/A,TRUE,"Y생산";#N/A,#N/A,TRUE,"Y판매";#N/A,#N/A,TRUE,"Y총물량";#N/A,#N/A,TRUE,"Y능력";#N/A,#N/A,TRUE,"YKD"}</definedName>
    <definedName name="ZX" hidden="1">{#N/A,#N/A,FALSE,"초도품";#N/A,#N/A,FALSE,"초도품 (2)";#N/A,#N/A,FALSE,"초도품 (3)";#N/A,#N/A,FALSE,"초도품 (4)";#N/A,#N/A,FALSE,"초도품 (5)";#N/A,#N/A,FALSE,"초도품 (6)"}</definedName>
    <definedName name="zxc" hidden="1">{#N/A,#N/A,FALSE,"Tucson_2hdrs";#N/A,#N/A,FALSE,"Tucson_3hdrs";#N/A,#N/A,FALSE,"Tucson_4hdrs";#N/A,#N/A,FALSE,"Tucson_5hdrs";#N/A,#N/A,FALSE,"Tucson_6hrds";#N/A,#N/A,FALSE,"All Headers Cum Yield"}</definedName>
    <definedName name="あああ" hidden="1">{"SUM GER",#N/A,FALSE,"SUM GER";"SUM FRA",#N/A,FALSE,"SUM FRA";"SUM ITA",#N/A,FALSE,"SUM ITA";"SUM SPA",#N/A,FALSE,"SUM SPA";"SUM EGB",#N/A,FALSE,"SUM EGB";"SUM IND",#N/A,FALSE,"SUM IND"}</definedName>
    <definedName name="っＫ" hidden="1">#REF!</definedName>
    <definedName name="わあわ" hidden="1">{"CTO ACUMULADO",#N/A,FALSE,"BASE ANEXOS";"VAR ACUMULADAS",#N/A,FALSE,"BASE ANEXOS"}</definedName>
    <definedName name="ㄱㅇ" hidden="1">{#N/A,#N/A,FALSE,"단축1";#N/A,#N/A,FALSE,"단축2";#N/A,#N/A,FALSE,"단축3";#N/A,#N/A,FALSE,"장축";#N/A,#N/A,FALSE,"4WD"}</definedName>
    <definedName name="가1" hidden="1">{#N/A,#N/A,TRUE,"Y생산";#N/A,#N/A,TRUE,"Y판매";#N/A,#N/A,TRUE,"Y총물량";#N/A,#N/A,TRUE,"Y능력";#N/A,#N/A,TRUE,"YKD"}</definedName>
    <definedName name="가동" hidden="1">{#N/A,#N/A,TRUE,"Y생산";#N/A,#N/A,TRUE,"Y판매";#N/A,#N/A,TRUE,"Y총물량";#N/A,#N/A,TRUE,"Y능력";#N/A,#N/A,TRUE,"YKD"}</definedName>
    <definedName name="가동2" hidden="1">{#N/A,#N/A,TRUE,"Y생산";#N/A,#N/A,TRUE,"Y판매";#N/A,#N/A,TRUE,"Y총물량";#N/A,#N/A,TRUE,"Y능력";#N/A,#N/A,TRUE,"YKD"}</definedName>
    <definedName name="가동비" hidden="1">#REF!</definedName>
    <definedName name="개발시험종합" hidden="1">#REF!</definedName>
    <definedName name="개선내용" hidden="1">{#N/A,#N/A,TRUE,"Y생산";#N/A,#N/A,TRUE,"Y판매";#N/A,#N/A,TRUE,"Y총물량";#N/A,#N/A,TRUE,"Y능력";#N/A,#N/A,TRUE,"YKD"}</definedName>
    <definedName name="개선실적" hidden="1">{#N/A,#N/A,TRUE,"Y생산";#N/A,#N/A,TRUE,"Y판매";#N/A,#N/A,TRUE,"Y총물량";#N/A,#N/A,TRUE,"Y능력";#N/A,#N/A,TRUE,"YKD"}</definedName>
    <definedName name="경합금2과운연계획" hidden="1">{#N/A,#N/A,TRUE,"Y생산";#N/A,#N/A,TRUE,"Y판매";#N/A,#N/A,TRUE,"Y총물량";#N/A,#N/A,TRUE,"Y능력";#N/A,#N/A,TRUE,"YKD"}</definedName>
    <definedName name="관리지표2" hidden="1">{#N/A,#N/A,TRUE,"Y생산";#N/A,#N/A,TRUE,"Y판매";#N/A,#N/A,TRUE,"Y총물량";#N/A,#N/A,TRUE,"Y능력";#N/A,#N/A,TRUE,"YKD"}</definedName>
    <definedName name="권k" hidden="1">{#N/A,#N/A,TRUE,"NRE";#N/A,#N/A,TRUE,"Tooling";#N/A,#N/A,TRUE,"Sample";#N/A,#N/A,TRUE,"Fixtures";#N/A,#N/A,TRUE,"Agency";#N/A,#N/A,TRUE,"Personnel"}</definedName>
    <definedName name="그레이스2" hidden="1">{#N/A,#N/A,FALSE,"단축1";#N/A,#N/A,FALSE,"단축2";#N/A,#N/A,FALSE,"단축3";#N/A,#N/A,FALSE,"장축";#N/A,#N/A,FALSE,"4WD"}</definedName>
    <definedName name="금월" hidden="1">{#N/A,#N/A,TRUE,"Y생산";#N/A,#N/A,TRUE,"Y판매";#N/A,#N/A,TRUE,"Y총물량";#N/A,#N/A,TRUE,"Y능력";#N/A,#N/A,TRUE,"YKD"}</definedName>
    <definedName name="금형제작일정" hidden="1">{#N/A,#N/A,FALSE,"단축1";#N/A,#N/A,FALSE,"단축2";#N/A,#N/A,FALSE,"단축3";#N/A,#N/A,FALSE,"장축";#N/A,#N/A,FALSE,"4WD"}</definedName>
    <definedName name="김도윤" hidden="1">{#N/A,#N/A,TRUE,"Y생산";#N/A,#N/A,TRUE,"Y판매";#N/A,#N/A,TRUE,"Y총물량";#N/A,#N/A,TRUE,"Y능력";#N/A,#N/A,TRUE,"YKD"}</definedName>
    <definedName name="ㄳㅁㄴ" hidden="1">{#N/A,#N/A,FALSE,"단축1";#N/A,#N/A,FALSE,"단축2";#N/A,#N/A,FALSE,"단축3";#N/A,#N/A,FALSE,"장축";#N/A,#N/A,FALSE,"4WD"}</definedName>
    <definedName name="ㄴㄴ" hidden="1">{#N/A,#N/A,TRUE,"Y생산";#N/A,#N/A,TRUE,"Y판매";#N/A,#N/A,TRUE,"Y총물량";#N/A,#N/A,TRUE,"Y능력";#N/A,#N/A,TRUE,"YKD"}</definedName>
    <definedName name="ㄴㄴㅁ" hidden="1">#REF!</definedName>
    <definedName name="ㄴㅇ" hidden="1">{#N/A,#N/A,TRUE,"Y생산";#N/A,#N/A,TRUE,"Y판매";#N/A,#N/A,TRUE,"Y총물량";#N/A,#N/A,TRUE,"Y능력";#N/A,#N/A,TRUE,"YKD"}</definedName>
    <definedName name="내역분석" hidden="1">{#N/A,#N/A,FALSE,"을지 (4)";#N/A,#N/A,FALSE,"을지 (5)";#N/A,#N/A,FALSE,"을지 (6)"}</definedName>
    <definedName name="냉각" hidden="1">{#N/A,#N/A,FALSE,"단축1";#N/A,#N/A,FALSE,"단축2";#N/A,#N/A,FALSE,"단축3";#N/A,#N/A,FALSE,"장축";#N/A,#N/A,FALSE,"4WD"}</definedName>
    <definedName name="ㄷㅇ" hidden="1">{#N/A,#N/A,TRUE,"Y생산";#N/A,#N/A,TRUE,"Y판매";#N/A,#N/A,TRUE,"Y총물량";#N/A,#N/A,TRUE,"Y능력";#N/A,#N/A,TRUE,"YKD"}</definedName>
    <definedName name="단가기준" hidden="1">{#N/A,#N/A,TRUE,"Y생산";#N/A,#N/A,TRUE,"Y판매";#N/A,#N/A,TRUE,"Y총물량";#N/A,#N/A,TRUE,"Y능력";#N/A,#N/A,TRUE,"YKD"}</definedName>
    <definedName name="단기" hidden="1">{#N/A,#N/A,TRUE,"Y생산";#N/A,#N/A,TRUE,"Y판매";#N/A,#N/A,TRUE,"Y총물량";#N/A,#N/A,TRUE,"Y능력";#N/A,#N/A,TRUE,"YKD"}</definedName>
    <definedName name="대원" hidden="1">#REF!</definedName>
    <definedName name="대원3" hidden="1">#REF!</definedName>
    <definedName name="대원4" hidden="1">#REF!</definedName>
    <definedName name="ㄹ" hidden="1">{#N/A,#N/A,TRUE,"Y생산";#N/A,#N/A,TRUE,"Y판매";#N/A,#N/A,TRUE,"Y총물량";#N/A,#N/A,TRUE,"Y능력";#N/A,#N/A,TRUE,"YKD"}</definedName>
    <definedName name="ㄹ호" hidden="1">{#N/A,#N/A,FALSE,"단축1";#N/A,#N/A,FALSE,"단축2";#N/A,#N/A,FALSE,"단축3";#N/A,#N/A,FALSE,"장축";#N/A,#N/A,FALSE,"4WD"}</definedName>
    <definedName name="로커커버" hidden="1">{#N/A,#N/A,FALSE,"단축1";#N/A,#N/A,FALSE,"단축2";#N/A,#N/A,FALSE,"단축3";#N/A,#N/A,FALSE,"장축";#N/A,#N/A,FALSE,"4WD"}</definedName>
    <definedName name="롸ㅡㅗ" hidden="1">{#N/A,#N/A,FALSE,"단축1";#N/A,#N/A,FALSE,"단축2";#N/A,#N/A,FALSE,"단축3";#N/A,#N/A,FALSE,"장축";#N/A,#N/A,FALSE,"4WD"}</definedName>
    <definedName name="링오" hidden="1">{#N/A,#N/A,FALSE,"단축1";#N/A,#N/A,FALSE,"단축2";#N/A,#N/A,FALSE,"단축3";#N/A,#N/A,FALSE,"장축";#N/A,#N/A,FALSE,"4WD"}</definedName>
    <definedName name="ㄻㄴ" hidden="1">{#N/A,#N/A,FALSE,"단축1";#N/A,#N/A,FALSE,"단축2";#N/A,#N/A,FALSE,"단축3";#N/A,#N/A,FALSE,"장축";#N/A,#N/A,FALSE,"4WD"}</definedName>
    <definedName name="ㄿㅁㅁㅁ" hidden="1">{#N/A,#N/A,FALSE,"단축1";#N/A,#N/A,FALSE,"단축2";#N/A,#N/A,FALSE,"단축3";#N/A,#N/A,FALSE,"장축";#N/A,#N/A,FALSE,"4WD"}</definedName>
    <definedName name="ㅀ" hidden="1">{#N/A,#N/A,FALSE,"단축1";#N/A,#N/A,FALSE,"단축2";#N/A,#N/A,FALSE,"단축3";#N/A,#N/A,FALSE,"장축";#N/A,#N/A,FALSE,"4WD"}</definedName>
    <definedName name="ㅀ미리밀ㅎ밈림" hidden="1">{#N/A,#N/A,FALSE,"을지 (4)";#N/A,#N/A,FALSE,"을지 (5)";#N/A,#N/A,FALSE,"을지 (6)"}</definedName>
    <definedName name="ㅁ" hidden="1">{#N/A,#N/A,TRUE,"Y생산";#N/A,#N/A,TRUE,"Y판매";#N/A,#N/A,TRUE,"Y총물량";#N/A,#N/A,TRUE,"Y능력";#N/A,#N/A,TRUE,"YKD"}</definedName>
    <definedName name="ㅁㄴ" hidden="1">{#N/A,#N/A,TRUE,"Y생산";#N/A,#N/A,TRUE,"Y판매";#N/A,#N/A,TRUE,"Y총물량";#N/A,#N/A,TRUE,"Y능력";#N/A,#N/A,TRUE,"YKD"}</definedName>
    <definedName name="ㅁㄴㅇㄹ" hidden="1">{#N/A,#N/A,FALSE,"단축1";#N/A,#N/A,FALSE,"단축2";#N/A,#N/A,FALSE,"단축3";#N/A,#N/A,FALSE,"장축";#N/A,#N/A,FALSE,"4WD"}</definedName>
    <definedName name="ㅁㅁㅁ" hidden="1">#REF!</definedName>
    <definedName name="물랴자" hidden="1">{#N/A,#N/A,TRUE,"Y생산";#N/A,#N/A,TRUE,"Y판매";#N/A,#N/A,TRUE,"Y총물량";#N/A,#N/A,TRUE,"Y능력";#N/A,#N/A,TRUE,"YKD"}</definedName>
    <definedName name="물량수" hidden="1">{#N/A,#N/A,TRUE,"Y생산";#N/A,#N/A,TRUE,"Y판매";#N/A,#N/A,TRUE,"Y총물량";#N/A,#N/A,TRUE,"Y능력";#N/A,#N/A,TRUE,"YKD"}</definedName>
    <definedName name="물량수정" hidden="1">{#N/A,#N/A,TRUE,"Y생산";#N/A,#N/A,TRUE,"Y판매";#N/A,#N/A,TRUE,"Y총물량";#N/A,#N/A,TRUE,"Y능력";#N/A,#N/A,TRUE,"YKD"}</definedName>
    <definedName name="물량수정1" hidden="1">{#N/A,#N/A,TRUE,"Y생산";#N/A,#N/A,TRUE,"Y판매";#N/A,#N/A,TRUE,"Y총물량";#N/A,#N/A,TRUE,"Y능력";#N/A,#N/A,TRUE,"YKD"}</definedName>
    <definedName name="물량수정2" hidden="1">{#N/A,#N/A,TRUE,"Y생산";#N/A,#N/A,TRUE,"Y판매";#N/A,#N/A,TRUE,"Y총물량";#N/A,#N/A,TRUE,"Y능력";#N/A,#N/A,TRUE,"YKD"}</definedName>
    <definedName name="물량정" hidden="1">{#N/A,#N/A,TRUE,"Y생산";#N/A,#N/A,TRUE,"Y판매";#N/A,#N/A,TRUE,"Y총물량";#N/A,#N/A,TRUE,"Y능력";#N/A,#N/A,TRUE,"YKD"}</definedName>
    <definedName name="물량조정" hidden="1">{#N/A,#N/A,TRUE,"Y생산";#N/A,#N/A,TRUE,"Y판매";#N/A,#N/A,TRUE,"Y총물량";#N/A,#N/A,TRUE,"Y능력";#N/A,#N/A,TRUE,"YKD"}</definedName>
    <definedName name="물수" hidden="1">{#N/A,#N/A,TRUE,"Y생산";#N/A,#N/A,TRUE,"Y판매";#N/A,#N/A,TRUE,"Y총물량";#N/A,#N/A,TRUE,"Y능력";#N/A,#N/A,TRUE,"YKD"}</definedName>
    <definedName name="민총2" hidden="1">{#N/A,#N/A,FALSE,"을지 (4)";#N/A,#N/A,FALSE,"을지 (5)";#N/A,#N/A,FALSE,"을지 (6)"}</definedName>
    <definedName name="ㅂ" hidden="1">{#N/A,#N/A,FALSE,"단축1";#N/A,#N/A,FALSE,"단축2";#N/A,#N/A,FALSE,"단축3";#N/A,#N/A,FALSE,"장축";#N/A,#N/A,FALSE,"4WD"}</definedName>
    <definedName name="ㅂㅂ" hidden="1">{#N/A,#N/A,FALSE,"단축1";#N/A,#N/A,FALSE,"단축2";#N/A,#N/A,FALSE,"단축3";#N/A,#N/A,FALSE,"장축";#N/A,#N/A,FALSE,"4WD"}</definedName>
    <definedName name="바바라" hidden="1">{#N/A,#N/A,TRUE,"Y생산";#N/A,#N/A,TRUE,"Y판매";#N/A,#N/A,TRUE,"Y총물량";#N/A,#N/A,TRUE,"Y능력";#N/A,#N/A,TRUE,"YKD"}</definedName>
    <definedName name="받" hidden="1">{#N/A,#N/A,TRUE,"Y생산";#N/A,#N/A,TRUE,"Y판매";#N/A,#N/A,TRUE,"Y총물량";#N/A,#N/A,TRUE,"Y능력";#N/A,#N/A,TRUE,"YKD"}</definedName>
    <definedName name="발표양식" hidden="1">{#N/A,#N/A,FALSE,"을지 (4)";#N/A,#N/A,FALSE,"을지 (5)";#N/A,#N/A,FALSE,"을지 (6)"}</definedName>
    <definedName name="방진고무" hidden="1">{#N/A,#N/A,FALSE,"단축1";#N/A,#N/A,FALSE,"단축2";#N/A,#N/A,FALSE,"단축3";#N/A,#N/A,FALSE,"장축";#N/A,#N/A,FALSE,"4WD"}</definedName>
    <definedName name="볼트수정" hidden="1">{#N/A,#N/A,FALSE,"단축1";#N/A,#N/A,FALSE,"단축2";#N/A,#N/A,FALSE,"단축3";#N/A,#N/A,FALSE,"장축";#N/A,#N/A,FALSE,"4WD"}</definedName>
    <definedName name="분기별" hidden="1">{#N/A,#N/A,TRUE,"Y생산";#N/A,#N/A,TRUE,"Y판매";#N/A,#N/A,TRUE,"Y총물량";#N/A,#N/A,TRUE,"Y능력";#N/A,#N/A,TRUE,"YKD"}</definedName>
    <definedName name="ㅅ" hidden="1">{#N/A,#N/A,TRUE,"Y생산";#N/A,#N/A,TRUE,"Y판매";#N/A,#N/A,TRUE,"Y총물량";#N/A,#N/A,TRUE,"Y능력";#N/A,#N/A,TRUE,"YKD"}</definedName>
    <definedName name="생산TON" hidden="1">{#N/A,#N/A,TRUE,"Y생산";#N/A,#N/A,TRUE,"Y판매";#N/A,#N/A,TRUE,"Y총물량";#N/A,#N/A,TRUE,"Y능력";#N/A,#N/A,TRUE,"YKD"}</definedName>
    <definedName name="세부생산계획" hidden="1">{#N/A,#N/A,TRUE,"Y생산";#N/A,#N/A,TRUE,"Y판매";#N/A,#N/A,TRUE,"Y총물량";#N/A,#N/A,TRUE,"Y능력";#N/A,#N/A,TRUE,"YKD"}</definedName>
    <definedName name="세왕123" hidden="1">{#N/A,#N/A,FALSE,"단축1";#N/A,#N/A,FALSE,"단축2";#N/A,#N/A,FALSE,"단축3";#N/A,#N/A,FALSE,"장축";#N/A,#N/A,FALSE,"4WD"}</definedName>
    <definedName name="송" hidden="1">{#N/A,#N/A,TRUE,"Y생산";#N/A,#N/A,TRUE,"Y판매";#N/A,#N/A,TRUE,"Y총물량";#N/A,#N/A,TRUE,"Y능력";#N/A,#N/A,TRUE,"YKD"}</definedName>
    <definedName name="송창기" hidden="1">{#N/A,#N/A,TRUE,"Y생산";#N/A,#N/A,TRUE,"Y판매";#N/A,#N/A,TRUE,"Y총물량";#N/A,#N/A,TRUE,"Y능력";#N/A,#N/A,TRUE,"YKD"}</definedName>
    <definedName name="쇼바2" hidden="1">{#N/A,#N/A,FALSE,"단축1";#N/A,#N/A,FALSE,"단축2";#N/A,#N/A,FALSE,"단축3";#N/A,#N/A,FALSE,"장축";#N/A,#N/A,FALSE,"4WD"}</definedName>
    <definedName name="수정물량" hidden="1">{#N/A,#N/A,TRUE,"Y생산";#N/A,#N/A,TRUE,"Y판매";#N/A,#N/A,TRUE,"Y총물량";#N/A,#N/A,TRUE,"Y능력";#N/A,#N/A,TRUE,"YKD"}</definedName>
    <definedName name="스타렉스2" hidden="1">{#N/A,#N/A,FALSE,"단축1";#N/A,#N/A,FALSE,"단축2";#N/A,#N/A,FALSE,"단축3";#N/A,#N/A,FALSE,"장축";#N/A,#N/A,FALSE,"4WD"}</definedName>
    <definedName name="시간" hidden="1">{#N/A,#N/A,TRUE,"Y생산";#N/A,#N/A,TRUE,"Y판매";#N/A,#N/A,TRUE,"Y총물량";#N/A,#N/A,TRUE,"Y능력";#N/A,#N/A,TRUE,"YKD"}</definedName>
    <definedName name="심의보고단기종합" hidden="1">{#N/A,#N/A,FALSE,"단축1";#N/A,#N/A,FALSE,"단축2";#N/A,#N/A,FALSE,"단축3";#N/A,#N/A,FALSE,"장축";#N/A,#N/A,FALSE,"4WD"}</definedName>
    <definedName name="ㅇㄹ호" hidden="1">{#N/A,#N/A,FALSE,"단축1";#N/A,#N/A,FALSE,"단축2";#N/A,#N/A,FALSE,"단축3";#N/A,#N/A,FALSE,"장축";#N/A,#N/A,FALSE,"4WD"}</definedName>
    <definedName name="ㅇㅇㅇ" hidden="1">{#N/A,#N/A,TRUE,"Y생산";#N/A,#N/A,TRUE,"Y판매";#N/A,#N/A,TRUE,"Y총물량";#N/A,#N/A,TRUE,"Y능력";#N/A,#N/A,TRUE,"YKD"}</definedName>
    <definedName name="ㅇ홍" hidden="1">{#N/A,#N/A,FALSE,"단축1";#N/A,#N/A,FALSE,"단축2";#N/A,#N/A,FALSE,"단축3";#N/A,#N/A,FALSE,"장축";#N/A,#N/A,FALSE,"4WD"}</definedName>
    <definedName name="아아아아아아아" hidden="1">{#N/A,#N/A,FALSE,"초도품";#N/A,#N/A,FALSE,"초도품 (2)";#N/A,#N/A,FALSE,"초도품 (3)";#N/A,#N/A,FALSE,"초도품 (4)";#N/A,#N/A,FALSE,"초도품 (5)";#N/A,#N/A,FALSE,"초도품 (6)"}</definedName>
    <definedName name="액슬" hidden="1">{#N/A,#N/A,FALSE,"단축1";#N/A,#N/A,FALSE,"단축2";#N/A,#N/A,FALSE,"단축3";#N/A,#N/A,FALSE,"장축";#N/A,#N/A,FALSE,"4WD"}</definedName>
    <definedName name="양대호" hidden="1">{#N/A,#N/A,FALSE,"단축1";#N/A,#N/A,FALSE,"단축2";#N/A,#N/A,FALSE,"단축3";#N/A,#N/A,FALSE,"장축";#N/A,#N/A,FALSE,"4WD"}</definedName>
    <definedName name="에어벤트" hidden="1">{#N/A,#N/A,FALSE,"단축1";#N/A,#N/A,FALSE,"단축2";#N/A,#N/A,FALSE,"단축3";#N/A,#N/A,FALSE,"장축";#N/A,#N/A,FALSE,"4WD"}</definedName>
    <definedName name="에이" hidden="1">{#N/A,#N/A,TRUE,"Y생산";#N/A,#N/A,TRUE,"Y판매";#N/A,#N/A,TRUE,"Y총물량";#N/A,#N/A,TRUE,"Y능력";#N/A,#N/A,TRUE,"YKD"}</definedName>
    <definedName name="연료2" hidden="1">{#N/A,#N/A,FALSE,"단축1";#N/A,#N/A,FALSE,"단축2";#N/A,#N/A,FALSE,"단축3";#N/A,#N/A,FALSE,"장축";#N/A,#N/A,FALSE,"4WD"}</definedName>
    <definedName name="오" hidden="1">{#N/A,#N/A,FALSE,"단축1";#N/A,#N/A,FALSE,"단축2";#N/A,#N/A,FALSE,"단축3";#N/A,#N/A,FALSE,"장축";#N/A,#N/A,FALSE,"4WD"}</definedName>
    <definedName name="오성협" hidden="1">{#N/A,#N/A,TRUE,"Y생산";#N/A,#N/A,TRUE,"Y판매";#N/A,#N/A,TRUE,"Y총물량";#N/A,#N/A,TRUE,"Y능력";#N/A,#N/A,TRUE,"YKD"}</definedName>
    <definedName name="외주계획" hidden="1">{#N/A,#N/A,TRUE,"Y생산";#N/A,#N/A,TRUE,"Y판매";#N/A,#N/A,TRUE,"Y총물량";#N/A,#N/A,TRUE,"Y능력";#N/A,#N/A,TRUE,"YKD"}</definedName>
    <definedName name="원자재종합" hidden="1">{#N/A,#N/A,FALSE,"단축1";#N/A,#N/A,FALSE,"단축2";#N/A,#N/A,FALSE,"단축3";#N/A,#N/A,FALSE,"장축";#N/A,#N/A,FALSE,"4WD"}</definedName>
    <definedName name="유형" hidden="1">{#N/A,#N/A,TRUE,"Y생산";#N/A,#N/A,TRUE,"Y판매";#N/A,#N/A,TRUE,"Y총물량";#N/A,#N/A,TRUE,"Y능력";#N/A,#N/A,TRUE,"YKD"}</definedName>
    <definedName name="이" hidden="1">{#N/A,#N/A,FALSE,"96 3월물량표";#N/A,#N/A,FALSE,"96 4월물량표";#N/A,#N/A,FALSE,"96 5월물량표"}</definedName>
    <definedName name="이상" hidden="1">{#N/A,#N/A,TRUE,"Y생산";#N/A,#N/A,TRUE,"Y판매";#N/A,#N/A,TRUE,"Y총물량";#N/A,#N/A,TRUE,"Y능력";#N/A,#N/A,TRUE,"YKD"}</definedName>
    <definedName name="인몰드2" hidden="1">{#N/A,#N/A,FALSE,"단축1";#N/A,#N/A,FALSE,"단축2";#N/A,#N/A,FALSE,"단축3";#N/A,#N/A,FALSE,"장축";#N/A,#N/A,FALSE,"4WD"}</definedName>
    <definedName name="인몰드성형" hidden="1">{#N/A,#N/A,FALSE,"단축1";#N/A,#N/A,FALSE,"단축2";#N/A,#N/A,FALSE,"단축3";#N/A,#N/A,FALSE,"장축";#N/A,#N/A,FALSE,"4WD"}</definedName>
    <definedName name="ㅈㅈ" hidden="1">{#N/A,#N/A,FALSE,"96 3월물량표";#N/A,#N/A,FALSE,"96 4월물량표";#N/A,#N/A,FALSE,"96 5월물량표"}</definedName>
    <definedName name="ㅈㅈㅈㅈ" hidden="1">{#N/A,#N/A,TRUE,"Y생산";#N/A,#N/A,TRUE,"Y판매";#N/A,#N/A,TRUE,"Y총물량";#N/A,#N/A,TRUE,"Y능력";#N/A,#N/A,TRUE,"YKD"}</definedName>
    <definedName name="자재기준" hidden="1">{#N/A,#N/A,TRUE,"Y생산";#N/A,#N/A,TRUE,"Y판매";#N/A,#N/A,TRUE,"Y총물량";#N/A,#N/A,TRUE,"Y능력";#N/A,#N/A,TRUE,"YKD"}</definedName>
    <definedName name="재료비1209" hidden="1">{#N/A,#N/A,TRUE,"NRE";#N/A,#N/A,TRUE,"Tooling";#N/A,#N/A,TRUE,"Sample";#N/A,#N/A,TRUE,"Fixtures";#N/A,#N/A,TRUE,"Agency";#N/A,#N/A,TRUE,"Personnel"}</definedName>
    <definedName name="절감" hidden="1">{#N/A,#N/A,FALSE,"단축1";#N/A,#N/A,FALSE,"단축2";#N/A,#N/A,FALSE,"단축3";#N/A,#N/A,FALSE,"장축";#N/A,#N/A,FALSE,"4WD"}</definedName>
    <definedName name="절감계산2" hidden="1">{#N/A,#N/A,FALSE,"단축1";#N/A,#N/A,FALSE,"단축2";#N/A,#N/A,FALSE,"단축3";#N/A,#N/A,FALSE,"장축";#N/A,#N/A,FALSE,"4WD"}</definedName>
    <definedName name="제동" hidden="1">{#N/A,#N/A,FALSE,"단축1";#N/A,#N/A,FALSE,"단축2";#N/A,#N/A,FALSE,"단축3";#N/A,#N/A,FALSE,"장축";#N/A,#N/A,FALSE,"4WD"}</definedName>
    <definedName name="주요" hidden="1">{#N/A,#N/A,TRUE,"Y생산";#N/A,#N/A,TRUE,"Y판매";#N/A,#N/A,TRUE,"Y총물량";#N/A,#N/A,TRUE,"Y능력";#N/A,#N/A,TRUE,"YKD"}</definedName>
    <definedName name="주요업무2" hidden="1">{#N/A,#N/A,TRUE,"Y생산";#N/A,#N/A,TRUE,"Y판매";#N/A,#N/A,TRUE,"Y총물량";#N/A,#N/A,TRUE,"Y능력";#N/A,#N/A,TRUE,"YKD"}</definedName>
    <definedName name="주요업무3" hidden="1">{#N/A,#N/A,TRUE,"Y생산";#N/A,#N/A,TRUE,"Y판매";#N/A,#N/A,TRUE,"Y총물량";#N/A,#N/A,TRUE,"Y능력";#N/A,#N/A,TRUE,"YKD"}</definedName>
    <definedName name="중앙" hidden="1">{#N/A,#N/A,FALSE,"단축1";#N/A,#N/A,FALSE,"단축2";#N/A,#N/A,FALSE,"단축3";#N/A,#N/A,FALSE,"장축";#N/A,#N/A,FALSE,"4WD"}</definedName>
    <definedName name="직급별" hidden="1">#REF!</definedName>
    <definedName name="초ㅐ" hidden="1">{"'Monthly 1997'!$A$3:$S$89"}</definedName>
    <definedName name="ㅋㅋ" hidden="1">{#N/A,#N/A,TRUE,"Y생산";#N/A,#N/A,TRUE,"Y판매";#N/A,#N/A,TRUE,"Y총물량";#N/A,#N/A,TRUE,"Y능력";#N/A,#N/A,TRUE,"YKD"}</definedName>
    <definedName name="키프코" hidden="1">{#N/A,#N/A,FALSE,"을지 (4)";#N/A,#N/A,FALSE,"을지 (5)";#N/A,#N/A,FALSE,"을지 (6)"}</definedName>
    <definedName name="ㅌㅇ로" hidden="1">{#N/A,#N/A,FALSE,"단축1";#N/A,#N/A,FALSE,"단축2";#N/A,#N/A,FALSE,"단축3";#N/A,#N/A,FALSE,"장축";#N/A,#N/A,FALSE,"4WD"}</definedName>
    <definedName name="ㅌㅊ" hidden="1">{#N/A,#N/A,FALSE,"단축1";#N/A,#N/A,FALSE,"단축2";#N/A,#N/A,FALSE,"단축3";#N/A,#N/A,FALSE,"장축";#N/A,#N/A,FALSE,"4WD"}</definedName>
    <definedName name="팀벼2" hidden="1">#REF!</definedName>
    <definedName name="팀별2" hidden="1">#REF!</definedName>
    <definedName name="표지1" hidden="1">#REF!</definedName>
    <definedName name="품" hidden="1">{#N/A,#N/A,TRUE,"Y생산";#N/A,#N/A,TRUE,"Y판매";#N/A,#N/A,TRUE,"Y총물량";#N/A,#N/A,TRUE,"Y능력";#N/A,#N/A,TRUE,"YKD"}</definedName>
    <definedName name="프" hidden="1">{#N/A,#N/A,FALSE,"단축1";#N/A,#N/A,FALSE,"단축2";#N/A,#N/A,FALSE,"단축3";#N/A,#N/A,FALSE,"장축";#N/A,#N/A,FALSE,"4WD"}</definedName>
    <definedName name="ㅎㄷㅁㄱ" hidden="1">{#N/A,#N/A,FALSE,"단축1";#N/A,#N/A,FALSE,"단축2";#N/A,#N/A,FALSE,"단축3";#N/A,#N/A,FALSE,"장축";#N/A,#N/A,FALSE,"4WD"}</definedName>
    <definedName name="ㅎ러ㅗㅀ" hidden="1">{#N/A,#N/A,FALSE,"단축1";#N/A,#N/A,FALSE,"단축2";#N/A,#N/A,FALSE,"단축3";#N/A,#N/A,FALSE,"장축";#N/A,#N/A,FALSE,"4WD"}</definedName>
    <definedName name="ㅎ로" hidden="1">{#N/A,#N/A,FALSE,"단축1";#N/A,#N/A,FALSE,"단축2";#N/A,#N/A,FALSE,"단축3";#N/A,#N/A,FALSE,"장축";#N/A,#N/A,FALSE,"4WD"}</definedName>
    <definedName name="한영사전" hidden="1">{#N/A,#N/A,TRUE,"Y생산";#N/A,#N/A,TRUE,"Y판매";#N/A,#N/A,TRUE,"Y총물량";#N/A,#N/A,TRUE,"Y능력";#N/A,#N/A,TRUE,"YKD"}</definedName>
    <definedName name="한총2" hidden="1">{#N/A,#N/A,FALSE,"을지 (4)";#N/A,#N/A,FALSE,"을지 (5)";#N/A,#N/A,FALSE,"을지 (6)"}</definedName>
    <definedName name="호ㅓㅏ" hidden="1">{#N/A,#N/A,FALSE,"96 3월물량표";#N/A,#N/A,FALSE,"96 4월물량표";#N/A,#N/A,FALSE,"96 5월물량표"}</definedName>
    <definedName name="혼아혼ㅇ러ㅣㄴ어ㅏㅣㅇ" hidden="1">{#N/A,#N/A,TRUE,"Y생산";#N/A,#N/A,TRUE,"Y판매";#N/A,#N/A,TRUE,"Y총물량";#N/A,#N/A,TRUE,"Y능력";#N/A,#N/A,TRUE,"YKD"}</definedName>
    <definedName name="ㅏㅣ" hidden="1">{#N/A,#N/A,FALSE,"96 3월물량표";#N/A,#N/A,FALSE,"96 4월물량표";#N/A,#N/A,FALSE,"96 5월물량표"}</definedName>
    <definedName name="ㅑㅐㅔㅕㅑㅐ" hidden="1">{#N/A,#N/A,FALSE,"단축1";#N/A,#N/A,FALSE,"단축2";#N/A,#N/A,FALSE,"단축3";#N/A,#N/A,FALSE,"장축";#N/A,#N/A,FALSE,"4WD"}</definedName>
    <definedName name="ㅓ" hidden="1">{#N/A,#N/A,TRUE,"Y생산";#N/A,#N/A,TRUE,"Y판매";#N/A,#N/A,TRUE,"Y총물량";#N/A,#N/A,TRUE,"Y능력";#N/A,#N/A,TRUE,"YKD"}</definedName>
    <definedName name="ㅓㅏㅣㅕㅑㅔ" hidden="1">{#N/A,#N/A,FALSE,"단축1";#N/A,#N/A,FALSE,"단축2";#N/A,#N/A,FALSE,"단축3";#N/A,#N/A,FALSE,"장축";#N/A,#N/A,FALSE,"4WD"}</definedName>
    <definedName name="ㅓㅓ로" hidden="1">{#N/A,#N/A,FALSE,"단축1";#N/A,#N/A,FALSE,"단축2";#N/A,#N/A,FALSE,"단축3";#N/A,#N/A,FALSE,"장축";#N/A,#N/A,FALSE,"4WD"}</definedName>
    <definedName name="ㅔㅔㅔ" hidden="1">#REF!</definedName>
    <definedName name="ㅕㅕ" hidden="1">{#N/A,#N/A,FALSE,"단축1";#N/A,#N/A,FALSE,"단축2";#N/A,#N/A,FALSE,"단축3";#N/A,#N/A,FALSE,"장축";#N/A,#N/A,FALSE,"4WD"}</definedName>
    <definedName name="ㅗㅎ" hidden="1">{#N/A,#N/A,TRUE,"Y생산";#N/A,#N/A,TRUE,"Y판매";#N/A,#N/A,TRUE,"Y총물량";#N/A,#N/A,TRUE,"Y능력";#N/A,#N/A,TRUE,"YKD"}</definedName>
    <definedName name="ㅗㅓㅏㅣ" hidden="1">{#N/A,#N/A,FALSE,"단축1";#N/A,#N/A,FALSE,"단축2";#N/A,#N/A,FALSE,"단축3";#N/A,#N/A,FALSE,"장축";#N/A,#N/A,FALSE,"4WD"}</definedName>
    <definedName name="ㅗㅓㅐㅓㅐ" hidden="1">#REF!</definedName>
    <definedName name="ㅛㅅㄱㄷㅈ" hidden="1">{#N/A,#N/A,FALSE,"단축1";#N/A,#N/A,FALSE,"단축2";#N/A,#N/A,FALSE,"단축3";#N/A,#N/A,FALSE,"장축";#N/A,#N/A,FALSE,"4WD"}</definedName>
    <definedName name="ㅡㅡㅡ" hidden="1">#REF!</definedName>
    <definedName name="ㅣ" hidden="1">#REF!</definedName>
    <definedName name="ㅣㅣ" hidden="1">{#N/A,#N/A,TRUE,"Y생산";#N/A,#N/A,TRUE,"Y판매";#N/A,#N/A,TRUE,"Y총물량";#N/A,#N/A,TRUE,"Y능력";#N/A,#N/A,TRUE,"YKD"}</definedName>
    <definedName name="他" hidden="1">{#N/A,#N/A,FALSE,"Tucson_2hdrs";#N/A,#N/A,FALSE,"Tucson_3hdrs";#N/A,#N/A,FALSE,"Tucson_4hdrs";#N/A,#N/A,FALSE,"Tucson_5hdrs";#N/A,#N/A,FALSE,"Tucson_6hrds";#N/A,#N/A,FALSE,"All Headers Cum Yield"}</definedName>
    <definedName name="你" hidden="1">{#N/A,#N/A,FALSE,"Tucson_2hdrs";#N/A,#N/A,FALSE,"Tucson_3hdrs";#N/A,#N/A,FALSE,"Tucson_4hdrs";#N/A,#N/A,FALSE,"Tucson_5hdrs";#N/A,#N/A,FALSE,"Tucson_6hrds";#N/A,#N/A,FALSE,"All Headers Cum Yield"}</definedName>
    <definedName name="分析" hidden="1">{#N/A,#N/A,FALSE,"Tucson_2hdrs";#N/A,#N/A,FALSE,"Tucson_3hdrs";#N/A,#N/A,FALSE,"Tucson_4hdrs";#N/A,#N/A,FALSE,"Tucson_5hdrs";#N/A,#N/A,FALSE,"Tucson_6hrds";#N/A,#N/A,FALSE,"All Headers Cum Yield"}</definedName>
    <definedName name="制造處" hidden="1">{#N/A,#N/A,FALSE,"Tucson_2hdrs";#N/A,#N/A,FALSE,"Tucson_3hdrs";#N/A,#N/A,FALSE,"Tucson_4hdrs";#N/A,#N/A,FALSE,"Tucson_5hdrs";#N/A,#N/A,FALSE,"Tucson_6hrds";#N/A,#N/A,FALSE,"All Headers Cum Yield"}</definedName>
    <definedName name="周報告第14周" hidden="1">{#N/A,#N/A,FALSE,"Tucson_2hdrs";#N/A,#N/A,FALSE,"Tucson_3hdrs";#N/A,#N/A,FALSE,"Tucson_4hdrs";#N/A,#N/A,FALSE,"Tucson_5hdrs";#N/A,#N/A,FALSE,"Tucson_6hrds";#N/A,#N/A,FALSE,"All Headers Cum Yield"}</definedName>
    <definedName name="外包注塑" hidden="1">{"'Memo'!$A$1:$M$27"}</definedName>
    <definedName name="异常報告" hidden="1">{#N/A,#N/A,FALSE,"Tucson_2hdrs";#N/A,#N/A,FALSE,"Tucson_3hdrs";#N/A,#N/A,FALSE,"Tucson_4hdrs";#N/A,#N/A,FALSE,"Tucson_5hdrs";#N/A,#N/A,FALSE,"Tucson_6hrds";#N/A,#N/A,FALSE,"All Headers Cum Yield"}</definedName>
    <definedName name="方針書" hidden="1">{"PL2000",#N/A,FALSE,"BL2000"}</definedName>
    <definedName name="方針書A" hidden="1">{"RES-2001",#N/A,FALSE,"BL2000";"A1-2001",#N/A,FALSE,"BL2000";"A2-2001",#N/A,FALSE,"BL2000"}</definedName>
    <definedName name="方針書Attachment" hidden="1">{"RES-2000",#N/A,FALSE,"BL2000";"A1-2000",#N/A,FALSE,"BL2000";"A2-2000",#N/A,FALSE,"BL2000"}</definedName>
    <definedName name="月客訴詳細內容2" hidden="1">{#N/A,#N/A,FALSE,"Tucson_2hdrs";#N/A,#N/A,FALSE,"Tucson_3hdrs";#N/A,#N/A,FALSE,"Tucson_4hdrs";#N/A,#N/A,FALSE,"Tucson_5hdrs";#N/A,#N/A,FALSE,"Tucson_6hrds";#N/A,#N/A,FALSE,"All Headers Cum Yield"}</definedName>
    <definedName name="林" hidden="1">{#N/A,#N/A,FALSE,"Tucson_2hdrs";#N/A,#N/A,FALSE,"Tucson_3hdrs";#N/A,#N/A,FALSE,"Tucson_4hdrs";#N/A,#N/A,FALSE,"Tucson_5hdrs";#N/A,#N/A,FALSE,"Tucson_6hrds";#N/A,#N/A,FALSE,"All Headers Cum Yield"}</definedName>
    <definedName name="注塑外包" hidden="1">{"'Memo'!$A$1:$M$27"}</definedName>
    <definedName name="狗" hidden="1">{#N/A,#N/A,FALSE,"Tucson_2hdrs";#N/A,#N/A,FALSE,"Tucson_3hdrs";#N/A,#N/A,FALSE,"Tucson_4hdrs";#N/A,#N/A,FALSE,"Tucson_5hdrs";#N/A,#N/A,FALSE,"Tucson_6hrds";#N/A,#N/A,FALSE,"All Headers Cum Yield"}</definedName>
    <definedName name="狗日的" hidden="1">{#N/A,#N/A,FALSE,"Tucson_2hdrs";#N/A,#N/A,FALSE,"Tucson_3hdrs";#N/A,#N/A,FALSE,"Tucson_4hdrs";#N/A,#N/A,FALSE,"Tucson_5hdrs";#N/A,#N/A,FALSE,"Tucson_6hrds";#N/A,#N/A,FALSE,"All Headers Cum Yield"}</definedName>
    <definedName name="直接固定費" hidden="1">{"COMNUS2000",#N/A,FALSE,"BL2000"}</definedName>
    <definedName name="統計" hidden="1">{#N/A,#N/A,FALSE,"Tucson_2hdrs";#N/A,#N/A,FALSE,"Tucson_3hdrs";#N/A,#N/A,FALSE,"Tucson_4hdrs";#N/A,#N/A,FALSE,"Tucson_5hdrs";#N/A,#N/A,FALSE,"Tucson_6hrds";#N/A,#N/A,FALSE,"All Headers Cum Yield"}</definedName>
    <definedName name="親" hidden="1">{#N/A,#N/A,FALSE,"Tucson_2hdrs";#N/A,#N/A,FALSE,"Tucson_3hdrs";#N/A,#N/A,FALSE,"Tucson_4hdrs";#N/A,#N/A,FALSE,"Tucson_5hdrs";#N/A,#N/A,FALSE,"Tucson_6hrds";#N/A,#N/A,FALSE,"All Headers Cum Yield"}</definedName>
    <definedName name="酒" hidden="1">{#N/A,#N/A,FALSE,"Tucson_2hdrs";#N/A,#N/A,FALSE,"Tucson_3hdrs";#N/A,#N/A,FALSE,"Tucson_4hdrs";#N/A,#N/A,FALSE,"Tucson_5hdrs";#N/A,#N/A,FALSE,"Tucson_6hrds";#N/A,#N/A,FALSE,"All Headers Cum Yield"}</definedName>
    <definedName name="鉻" hidden="1">{#N/A,#N/A,FALSE,"Tucson_2hdrs";#N/A,#N/A,FALSE,"Tucson_3hdrs";#N/A,#N/A,FALSE,"Tucson_4hdrs";#N/A,#N/A,FALSE,"Tucson_5hdrs";#N/A,#N/A,FALSE,"Tucson_6hrds";#N/A,#N/A,FALSE,"All Headers Cum Yield"}</definedName>
    <definedName name="雞" hidden="1">{#N/A,#N/A,FALSE,"Tucson_2hdrs";#N/A,#N/A,FALSE,"Tucson_3hdrs";#N/A,#N/A,FALSE,"Tucson_4hdrs";#N/A,#N/A,FALSE,"Tucson_5hdrs";#N/A,#N/A,FALSE,"Tucson_6hrds";#N/A,#N/A,FALSE,"All Headers Cum Yield"}</definedName>
    <definedName name="香煙" hidden="1">{#N/A,#N/A,FALSE,"Tucson_2hdrs";#N/A,#N/A,FALSE,"Tucson_3hdrs";#N/A,#N/A,FALSE,"Tucson_4hdrs";#N/A,#N/A,FALSE,"Tucson_5hdrs";#N/A,#N/A,FALSE,"Tucson_6hrds";#N/A,#N/A,FALSE,"All Headers Cum Yield"}</definedName>
    <definedName name="鴨" hidden="1">{#N/A,#N/A,FALSE,"Tucson_2hdrs";#N/A,#N/A,FALSE,"Tucson_3hdrs";#N/A,#N/A,FALSE,"Tucson_4hdrs";#N/A,#N/A,FALSE,"Tucson_5hdrs";#N/A,#N/A,FALSE,"Tucson_6hrds";#N/A,#N/A,FALSE,"All Headers Cum Yield"}</definedName>
    <definedName name="麗麗" hidden="1">{#N/A,#N/A,FALSE,"Tucson_2hdrs";#N/A,#N/A,FALSE,"Tucson_3hdrs";#N/A,#N/A,FALSE,"Tucson_4hdrs";#N/A,#N/A,FALSE,"Tucson_5hdrs";#N/A,#N/A,FALSE,"Tucson_6hrds";#N/A,#N/A,FALSE,"All Headers Cum Yield"}</definedName>
    <definedName name="麗麗一" hidden="1">{#N/A,#N/A,FALSE,"Tucson_2hdrs";#N/A,#N/A,FALSE,"Tucson_3hdrs";#N/A,#N/A,FALSE,"Tucson_4hdrs";#N/A,#N/A,FALSE,"Tucson_5hdrs";#N/A,#N/A,FALSE,"Tucson_6hrds";#N/A,#N/A,FALSE,"All Headers Cum Yield"}</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8" i="3" l="1"/>
  <c r="N58" i="3"/>
  <c r="O58" i="3"/>
  <c r="N122" i="13"/>
  <c r="O122" i="13"/>
  <c r="P122" i="13"/>
  <c r="N129" i="13"/>
  <c r="O129" i="13"/>
  <c r="P129" i="13"/>
  <c r="N115" i="13"/>
  <c r="O115" i="13"/>
  <c r="P115" i="13"/>
  <c r="O3" i="13"/>
  <c r="P3" i="13"/>
  <c r="N3" i="13"/>
  <c r="N10" i="13"/>
  <c r="O10" i="13"/>
  <c r="P10" i="13"/>
  <c r="N17" i="13"/>
  <c r="O17" i="13"/>
  <c r="P17" i="13"/>
  <c r="N24" i="13"/>
  <c r="O24" i="13"/>
  <c r="P24" i="13"/>
  <c r="N31" i="13"/>
  <c r="O31" i="13"/>
  <c r="P31" i="13"/>
  <c r="N38" i="13"/>
  <c r="O38" i="13"/>
  <c r="P38" i="13"/>
  <c r="N45" i="13"/>
  <c r="O45" i="13"/>
  <c r="P45" i="13"/>
  <c r="N52" i="13"/>
  <c r="O52" i="13"/>
  <c r="P52" i="13"/>
  <c r="N59" i="13"/>
  <c r="O59" i="13"/>
  <c r="P59" i="13"/>
  <c r="N66" i="13"/>
  <c r="O66" i="13"/>
  <c r="P66" i="13"/>
  <c r="N73" i="13"/>
  <c r="O73" i="13"/>
  <c r="P73" i="13"/>
  <c r="N80" i="13"/>
  <c r="O80" i="13"/>
  <c r="P80" i="13"/>
  <c r="N87" i="13"/>
  <c r="O87" i="13"/>
  <c r="P87" i="13"/>
  <c r="N94" i="13"/>
  <c r="O94" i="13"/>
  <c r="P94" i="13"/>
  <c r="N101" i="13"/>
  <c r="O101" i="13"/>
  <c r="P101" i="13"/>
  <c r="N108" i="13"/>
  <c r="O108" i="13"/>
  <c r="P108" i="13"/>
  <c r="M10" i="3"/>
  <c r="C33" i="2" s="1"/>
  <c r="M4" i="3"/>
  <c r="O88" i="3"/>
  <c r="N88" i="3"/>
  <c r="M88" i="3"/>
  <c r="D36" i="2"/>
  <c r="E36" i="2"/>
  <c r="D37" i="2"/>
  <c r="E37" i="2"/>
  <c r="D38" i="2"/>
  <c r="E38" i="2"/>
  <c r="D39" i="2"/>
  <c r="E39" i="2"/>
  <c r="D40" i="2"/>
  <c r="E40" i="2"/>
  <c r="D41" i="2"/>
  <c r="E41" i="2"/>
  <c r="D42" i="2"/>
  <c r="E42" i="2"/>
  <c r="D43" i="2"/>
  <c r="E43" i="2"/>
  <c r="D44" i="2"/>
  <c r="E44" i="2"/>
  <c r="D45" i="2"/>
  <c r="E45" i="2"/>
  <c r="D46" i="2"/>
  <c r="E46" i="2"/>
  <c r="C46" i="2"/>
  <c r="C45" i="2"/>
  <c r="C44" i="2"/>
  <c r="C43" i="2"/>
  <c r="C42" i="2"/>
  <c r="C41" i="2"/>
  <c r="C40" i="2"/>
  <c r="C39" i="2"/>
  <c r="C38" i="2"/>
  <c r="C37" i="2"/>
  <c r="C36" i="2"/>
  <c r="D35" i="2"/>
  <c r="E35" i="2"/>
  <c r="C35" i="2"/>
  <c r="D34" i="2"/>
  <c r="E34" i="2"/>
  <c r="C34" i="2"/>
  <c r="D32" i="2"/>
  <c r="E32" i="2"/>
  <c r="C32" i="2"/>
  <c r="D22" i="2"/>
  <c r="E22" i="2"/>
  <c r="D23" i="2"/>
  <c r="E23" i="2"/>
  <c r="D24" i="2"/>
  <c r="E24" i="2"/>
  <c r="D25" i="2"/>
  <c r="E25" i="2"/>
  <c r="D26" i="2"/>
  <c r="E26" i="2"/>
  <c r="D27" i="2"/>
  <c r="E27" i="2"/>
  <c r="C22" i="2"/>
  <c r="C23" i="2"/>
  <c r="C24" i="2"/>
  <c r="C25" i="2"/>
  <c r="C26" i="2"/>
  <c r="C27" i="2"/>
  <c r="D17" i="2"/>
  <c r="E17" i="2"/>
  <c r="C17" i="2"/>
  <c r="D16" i="2"/>
  <c r="E16" i="2"/>
  <c r="C16" i="2"/>
  <c r="D15" i="2"/>
  <c r="E15" i="2"/>
  <c r="C15" i="2"/>
  <c r="D13" i="2"/>
  <c r="E13" i="2"/>
  <c r="C13" i="2"/>
  <c r="D14" i="2"/>
  <c r="E14" i="2"/>
  <c r="C14" i="2"/>
  <c r="D12" i="2"/>
  <c r="E12" i="2"/>
  <c r="C12" i="2"/>
  <c r="D2" i="2"/>
  <c r="E2" i="2"/>
  <c r="D3" i="2"/>
  <c r="E3" i="2"/>
  <c r="D4" i="2"/>
  <c r="E4" i="2"/>
  <c r="D5" i="2"/>
  <c r="E5" i="2"/>
  <c r="D6" i="2"/>
  <c r="E6" i="2"/>
  <c r="D7" i="2"/>
  <c r="E7" i="2"/>
  <c r="C7" i="2"/>
  <c r="C6" i="2"/>
  <c r="C5" i="2"/>
  <c r="C2" i="2"/>
  <c r="C3" i="2"/>
  <c r="C4" i="2"/>
  <c r="M70" i="3"/>
  <c r="N70" i="3"/>
  <c r="O70" i="3"/>
  <c r="M76" i="3"/>
  <c r="N76" i="3"/>
  <c r="O76" i="3"/>
  <c r="M82" i="3"/>
  <c r="N82" i="3"/>
  <c r="O82" i="3"/>
  <c r="M94" i="3"/>
  <c r="N94" i="3"/>
  <c r="O94" i="3"/>
  <c r="M52" i="3"/>
  <c r="N52" i="3"/>
  <c r="O52" i="3"/>
  <c r="M64" i="3"/>
  <c r="N64" i="3"/>
  <c r="O64" i="3"/>
  <c r="M46" i="3"/>
  <c r="N46" i="3"/>
  <c r="O46" i="3"/>
  <c r="M34" i="3"/>
  <c r="N34" i="3"/>
  <c r="O34" i="3"/>
  <c r="M40" i="3"/>
  <c r="N40" i="3"/>
  <c r="O40" i="3"/>
  <c r="M28" i="3"/>
  <c r="N28" i="3"/>
  <c r="O28" i="3"/>
  <c r="M22" i="3"/>
  <c r="N22" i="3"/>
  <c r="O22" i="3"/>
  <c r="M16" i="3"/>
  <c r="N16" i="3"/>
  <c r="O16" i="3"/>
  <c r="N10" i="3"/>
  <c r="D33" i="2" s="1"/>
  <c r="O10" i="3"/>
  <c r="E33" i="2" s="1"/>
  <c r="O4" i="3"/>
  <c r="N4" i="3"/>
  <c r="C47" i="2" l="1"/>
  <c r="E47" i="2"/>
  <c r="D47" i="2"/>
  <c r="C8" i="2"/>
  <c r="D18" i="2"/>
  <c r="D28" i="2"/>
  <c r="C28" i="2"/>
  <c r="E28" i="2"/>
  <c r="E18" i="2"/>
  <c r="C18" i="2"/>
  <c r="E8" i="2"/>
  <c r="D8" i="2"/>
</calcChain>
</file>

<file path=xl/sharedStrings.xml><?xml version="1.0" encoding="utf-8"?>
<sst xmlns="http://schemas.openxmlformats.org/spreadsheetml/2006/main" count="2276" uniqueCount="1248">
  <si>
    <t>VINFAST PQ/GD&amp;T Gateway audit</t>
  </si>
  <si>
    <t>LH800</t>
  </si>
  <si>
    <t>VF6</t>
  </si>
  <si>
    <t>VF6NP</t>
  </si>
  <si>
    <t>Module</t>
  </si>
  <si>
    <t>Sub Module</t>
  </si>
  <si>
    <t>PQ Criteria</t>
  </si>
  <si>
    <t>Check Item</t>
  </si>
  <si>
    <t>Evaluation Guide</t>
  </si>
  <si>
    <t>score</t>
  </si>
  <si>
    <t>Sore</t>
  </si>
  <si>
    <t>Score</t>
  </si>
  <si>
    <t>BM1 Commnet</t>
  </si>
  <si>
    <t>BM2 Comment</t>
  </si>
  <si>
    <t>JIRA</t>
  </si>
  <si>
    <t>BM Row Average</t>
  </si>
  <si>
    <t>VF6 Row Average</t>
  </si>
  <si>
    <t>VF6NP Row Average</t>
  </si>
  <si>
    <t>Exterior</t>
  </si>
  <si>
    <t>Body</t>
  </si>
  <si>
    <t>Fit &amp; Finish</t>
  </si>
  <si>
    <t>Panel gaps, flushness and line alignment</t>
  </si>
  <si>
    <t>View panel joints from the front, side and an angle. Check uneven gaps, panel height differences and broken styling lines. Measure specified points against DTS.</t>
  </si>
  <si>
    <t xml:space="preserve">Carryover design/paint quality </t>
  </si>
  <si>
    <t>Aesthetics</t>
  </si>
  <si>
    <t>Painted surface quality</t>
  </si>
  <si>
    <t>Check panels in daylight and inspection lighting. Look for dents, waves, paint runs, rough paint texture and dirt trapped in paint.</t>
  </si>
  <si>
    <t>Balanced / Clean / Calm</t>
  </si>
  <si>
    <t>Touch &amp; Feel</t>
  </si>
  <si>
    <t>Surface feel and scratch resistance</t>
  </si>
  <si>
    <t>Check normal contact areas for rough surfaces and unfinished edges. Inspect paint scratches before and after approved use and cleaning tests. Refer sharp-edge concerns to Safety.</t>
  </si>
  <si>
    <t>Acceptable / Basic / Lacking refinement</t>
  </si>
  <si>
    <t>Functionality</t>
  </si>
  <si>
    <t>Body clearance during use</t>
  </si>
  <si>
    <t>Open adjacent closures and check loading and cleaning access. Look for rubbing, catching or blocked access.</t>
  </si>
  <si>
    <t>intuitive / Low friction</t>
  </si>
  <si>
    <t>Sound Quality</t>
  </si>
  <si>
    <t>Body creak and rattle</t>
  </si>
  <si>
    <t>Listen during the approved road test. Record where creaks or rattles occur, the speed and road condition. Confirm the noise source.</t>
  </si>
  <si>
    <t>Clean / Clear / Moderate richness / Controlled</t>
  </si>
  <si>
    <t>Harmony &amp; Authenticity</t>
  </si>
  <si>
    <t>Body design continuity</t>
  </si>
  <si>
    <t>View the whole vehicle from the front, side and rear. Compare styling lines, panel transitions and intended left/right balance with the approved design.</t>
  </si>
  <si>
    <t>Harmonized / Genuine-leaning / Mostly coherent</t>
  </si>
  <si>
    <t>Doors &amp; Closures</t>
  </si>
  <si>
    <t>Closure gaps, flushness and seals</t>
  </si>
  <si>
    <t>Fully close doors, bonnet and tailgate. Check gaps, panel height differences, corner alignment and seal seating. Recheck after opening and closing.</t>
  </si>
  <si>
    <t>Carryover door design</t>
  </si>
  <si>
    <t>Closure surfaces and hardware</t>
  </si>
  <si>
    <t>Check closures open and closed. Look for dents, paint defects, exposed sealant and poorly finished visible fasteners.</t>
  </si>
  <si>
    <t>Door handle new design</t>
  </si>
  <si>
    <t>Handle feel and scratch resistance</t>
  </si>
  <si>
    <t>Grip handles and operate releases. Check comfort, rough edges and looseness. Inspect handles and recesses for scratches after approved use and cleaning tests.</t>
  </si>
  <si>
    <t>Door handle new design/ poor door closing</t>
  </si>
  <si>
    <t>Opening, closing and latching</t>
  </si>
  <si>
    <t>Open and close each closure using the specified method. Check smooth movement, operating effort, hold-open function and full latching.</t>
  </si>
  <si>
    <t>VF6 legacy mud inturusion improved</t>
  </si>
  <si>
    <t>Opening and closing sound</t>
  </si>
  <si>
    <t>Listen while releasing, opening and closing each closure. Check squeaks, metallic ringing, repeated impacts and vibration after closing.</t>
  </si>
  <si>
    <t>carryover door design/Poor door closing sound</t>
  </si>
  <si>
    <t>Closure feel and finish consistency</t>
  </si>
  <si>
    <t>Compare handles and visible hardware across the vehicle. Check consistent finishes, operating feel and closing sounds where the same experience is intended.</t>
  </si>
  <si>
    <t>Lighting</t>
  </si>
  <si>
    <t>Lamp installation and alignment</t>
  </si>
  <si>
    <t>Check lamp-to-body and lamp-to-bumper joints. Look for uneven gaps, incorrect panel height and misaligned internal elements. Compare left and right lamps.</t>
  </si>
  <si>
    <t>New design. DTS improved</t>
  </si>
  <si>
    <t>Lens and illuminated appearance</t>
  </si>
  <si>
    <t>Check lamps off and on in daylight and darkness. Look for lens defects, internal dirt, bright spots, dark areas and unintended colour differences.</t>
  </si>
  <si>
    <t xml:space="preserve">New design. </t>
  </si>
  <si>
    <t>Lens finish and scratch resistance</t>
  </si>
  <si>
    <t>Check accessible lens and trim edges for roughness or looseness. Inspect scratches and haze before and after approved cleaning tests. Review the approved scratch-test results.</t>
  </si>
  <si>
    <t>solid design. RPS/Datum implemented/No ahrp edge</t>
  </si>
  <si>
    <t>Lighting modes and response</t>
  </si>
  <si>
    <t>Switch on each applicable lighting mode. Check correct activation, sequence and flicker. Report failures to Lighting Engineering for further assessment.</t>
  </si>
  <si>
    <t>New design LED/projection lamp</t>
  </si>
  <si>
    <t>Lamp operating noise</t>
  </si>
  <si>
    <t>In a quiet area, operate fitted lamp motors or adjustment functions. Listen for buzzing, chatter or repeated cycling. Mark N/A if no audible mechanism is fitted.</t>
  </si>
  <si>
    <t>solid design. RPS/Datum implemented</t>
  </si>
  <si>
    <t>Lighting design consistency</t>
  </si>
  <si>
    <t>View front and rear lighting together with the vehicle design. Check light shapes, intended symmetry and colour against the approved design.</t>
  </si>
  <si>
    <t>new design improved harmony with surounding part</t>
  </si>
  <si>
    <t>Glass &amp; Wiper</t>
  </si>
  <si>
    <t>Glass, mouldings and parked wipers</t>
  </si>
  <si>
    <t>Check glass edges, surrounding mouldings and parked wipers. Look for uneven seating, open corner joints, exposed adhesive and incorrect parking position.</t>
  </si>
  <si>
    <t xml:space="preserve">Carryover design/ poor trim fitmenent </t>
  </si>
  <si>
    <t>Glass clarity and finish</t>
  </si>
  <si>
    <t>Look through the glass from normal seating positions. Check scratches, haze and distorted views. Inspect the black border and surrounding trim from outside.</t>
  </si>
  <si>
    <t>Carryover design/ exposed wisher line</t>
  </si>
  <si>
    <t>Contact finish and scratch resistance</t>
  </si>
  <si>
    <t>Check accessible trim and blade-service areas for rough edges. Inspect glass and trim scratches after approved wiping and cleaning tests. Disable wipers before service-contact checks.</t>
  </si>
  <si>
    <t>Carryover design</t>
  </si>
  <si>
    <t>Wiping, washing and parking</t>
  </si>
  <si>
    <t>Wet the glass and operate each wiper mode and washer. Check missed areas, streaks, spray coverage and correct parking.</t>
  </si>
  <si>
    <t>Carryover design/ unclean area remained</t>
  </si>
  <si>
    <t>Wiper noise</t>
  </si>
  <si>
    <t>Listen while wiping wet glass at each specified speed. Check squeal, blade chatter, motor noise and impacts at reversal or parking.</t>
  </si>
  <si>
    <t>Glass surround integration</t>
  </si>
  <si>
    <t>View glass mouldings, pillars, cowl and parked wipers together. Check aligned transitions and finishes against the approved design.</t>
  </si>
  <si>
    <t>Exterior Trim</t>
  </si>
  <si>
    <t>Trim seating and joints</t>
  </si>
  <si>
    <t>Check grilles, badges, garnish and cladding. Look for uneven gaps, lifted corners and exposed clips. Check attachment using the approved method.</t>
  </si>
  <si>
    <t>new design improved DTS/RPS/Location strategy</t>
  </si>
  <si>
    <t>Trim surface finish</t>
  </si>
  <si>
    <t>Check visible trim for dents, moulding marks, scratches and coating defects. Compare colour, gloss and surface pattern with approved samples.</t>
  </si>
  <si>
    <t>new design improved DTS</t>
  </si>
  <si>
    <t>Trim feel and scratch resistance</t>
  </si>
  <si>
    <t>Touch normal contact areas. Check texture, rough edges and looseness. Inspect scratches and scuffs after approved handling and cleaning tests.</t>
  </si>
  <si>
    <t xml:space="preserve"> Mostly solid/ no sharp edges on A surface</t>
  </si>
  <si>
    <t>Movable trim and access</t>
  </si>
  <si>
    <t>Operate fitted movable trim. Check smooth movement and access for normal use and cleaning. Mark operating effort N/A for fixed decorative parts.</t>
  </si>
  <si>
    <t xml:space="preserve">Reliable </t>
  </si>
  <si>
    <t>Trim squeak and rattle</t>
  </si>
  <si>
    <t>Listen during normal use and the approved road test. Locate trim squeaks or rattles and record the conditions.</t>
  </si>
  <si>
    <t>Trim colour and material harmony</t>
  </si>
  <si>
    <t>Compare neighbouring painted, plated and textured parts. Check colour, gloss, badge alignment and material appearance against approved samples.</t>
  </si>
  <si>
    <t>well integrated panel matching with trim</t>
  </si>
  <si>
    <t>Wheel/Wheel cover /Rim</t>
  </si>
  <si>
    <t>Cover and centre-cap seating</t>
  </si>
  <si>
    <t>Check wheel covers and centre caps around their edges. Look for uneven seating, open gaps and poor alignment. Check valve access.</t>
  </si>
  <si>
    <t>Wheel finish</t>
  </si>
  <si>
    <t>Check wheel faces, recesses and visible fasteners. Look for scratches, paint defects, machining marks and unintended colour differences.</t>
  </si>
  <si>
    <t>Edge finish and scratch resistance</t>
  </si>
  <si>
    <t>Check normal handling areas for rough edges. Inspect scratches after approved cleaning and cover-handling tests. Record tool damage separately.</t>
  </si>
  <si>
    <t>Valve access and cover operation</t>
  </si>
  <si>
    <t>Check access for tyre inflation. Remove and refit covers or caps only by the approved procedure. Confirm correct seating and retention.</t>
  </si>
  <si>
    <t>Cover and cap rattle</t>
  </si>
  <si>
    <t>Listen during the approved road test. Check cover or cap rattle. Confirm the source is not the tyre, brake or bearing.</t>
  </si>
  <si>
    <t>Wheel design and vehicle match</t>
  </si>
  <si>
    <t>View the wheels with the complete vehicle. Check wheel design, finish, caps and visible hardware against the approved variant specification.</t>
  </si>
  <si>
    <t xml:space="preserve">well integrated wheel design with exterior </t>
  </si>
  <si>
    <t>Interior</t>
  </si>
  <si>
    <t>Instrument Panel</t>
  </si>
  <si>
    <t>IP joints and alignment</t>
  </si>
  <si>
    <t>Sit in the driver and passenger seats. Check joints around doors, displays, vents and trim. Look for uneven gaps and panel height differences.</t>
  </si>
  <si>
    <t>new design. DTS/RPS/datum imrpoved</t>
  </si>
  <si>
    <t>IP finish and reflections</t>
  </si>
  <si>
    <t>Check the IP in daylight and cabin lighting. Look for surface defects and colour differences. Record windshield reflections from the specified driver positions.</t>
  </si>
  <si>
    <t>new design</t>
  </si>
  <si>
    <t>IP feel and scratch resistance</t>
  </si>
  <si>
    <t>Touch normal contact areas. Check texture, padding, rough edges and looseness. Inspect scratches and scuffs after approved contact and cleaning tests.</t>
  </si>
  <si>
    <t>soft touch IP top cover with chrome finisher</t>
  </si>
  <si>
    <t>Glovebox and storage operation</t>
  </si>
  <si>
    <t>Open and close the glovebox and fitted storage lids. Check reach, effort, controlled movement, latching and interference with intended contents.</t>
  </si>
  <si>
    <t>Glove box volume increase.</t>
  </si>
  <si>
    <t>IP and glovebox noise</t>
  </si>
  <si>
    <t>Listen during glovebox operation and the approved road test. Check creaks, rattles and harsh lid or latch impacts.</t>
  </si>
  <si>
    <t>soft touch IP top cover</t>
  </si>
  <si>
    <t>IP and cabin design continuity</t>
  </si>
  <si>
    <t>Compare the IP with the console and door trims. Check colour, surface pattern, stitching and decorative-line continuity against approved samples.</t>
  </si>
  <si>
    <t>Good integration with IP vs Door trim</t>
  </si>
  <si>
    <t>Steering Wheel</t>
  </si>
  <si>
    <t>Wheel trim and seam fit</t>
  </si>
  <si>
    <t>From the driver seat, check switch surrounds, spoke trim and rim seams. Look for uneven joints, poor stitching and loose trim. Do not probe airbag interfaces.</t>
  </si>
  <si>
    <t>New design Carry over from VF7NP</t>
  </si>
  <si>
    <t>Wheel covering and graphics</t>
  </si>
  <si>
    <t>Check the rim, hub and buttons. Look for wrinkles, uneven seams, coating defects and unclear or misaligned graphics.</t>
  </si>
  <si>
    <t>New design/ competitive with BYD dolphin</t>
  </si>
  <si>
    <t>Grip feel and scratch resistance</t>
  </si>
  <si>
    <t>Hold the wheel at normal grip positions. Check texture, seam comfort and button feel. Inspect scratches and finish wear after approved use and cleaning tests.</t>
  </si>
  <si>
    <t>new CMF/ leather cover/ improved size</t>
  </si>
  <si>
    <t>Controls and adjustment</t>
  </si>
  <si>
    <t>Operate buttons, scroll wheels and fitted adjustment controls. Check reach, correct response and accidental activation.</t>
  </si>
  <si>
    <t>Adding wheel control switch packs/ steering wheel stalks</t>
  </si>
  <si>
    <t>Control and trim sound</t>
  </si>
  <si>
    <t>In a quiet cabin, operate each control. Listen for inconsistent clicks or loose-part noise. Check trim noise during normal steering use.</t>
  </si>
  <si>
    <t>New design</t>
  </si>
  <si>
    <t>Wheel and cockpit consistency</t>
  </si>
  <si>
    <t>Compare wheel finishes, symbols and button feedback with other cabin controls. Check consistency with the approved cockpit design.</t>
  </si>
  <si>
    <t>New design harmony with interior design</t>
  </si>
  <si>
    <t>Console</t>
  </si>
  <si>
    <t>Console joints and lids</t>
  </si>
  <si>
    <t>Check console joints and lids open and closed. Look for uneven gaps and panel height differences. Check interference at the specified seat positions.</t>
  </si>
  <si>
    <t>Console and storage finish</t>
  </si>
  <si>
    <t>Check decorative surfaces, cupholders and storage interiors. Look for scratches, moulding marks, coating defects and poorly finished visible hardware.</t>
  </si>
  <si>
    <t>Contact feel and scratch resistance</t>
  </si>
  <si>
    <t>Check armrests and hand-contact areas for comfort, texture and looseness. Inspect scratches after approved item-contact and cleaning tests.</t>
  </si>
  <si>
    <t>Arm rest soft cover</t>
  </si>
  <si>
    <t>Storage, cupholders and armrest</t>
  </si>
  <si>
    <t>Use the specified cups, bottles and items. Check insertion, retention and removal. Operate lids, armrests and fitted charging functions.</t>
  </si>
  <si>
    <t>wirless charger/ more storage space/cup holders</t>
  </si>
  <si>
    <t>Console and stored-item noise</t>
  </si>
  <si>
    <t>Operate lids and armrests, then road-test with specified stored items. Identify whether noise comes from the mechanism, trim or stored items.</t>
  </si>
  <si>
    <t>Console and cabin consistency</t>
  </si>
  <si>
    <t>Compare console finishes and lines with the IP and seats. Check related controls for consistent graphics and operating feel.</t>
  </si>
  <si>
    <t>Door Trim</t>
  </si>
  <si>
    <t>Door-trim seating and alignment</t>
  </si>
  <si>
    <t>Check handles, switches, speaker grilles and trim edges. Close the door and check alignment with the IP. Look for uneven joints and lifted trim.</t>
  </si>
  <si>
    <t>Door-trim finish</t>
  </si>
  <si>
    <t>Check from normal seating positions and with the door open. Look for wrinkles, moulding marks, adhesive traces, poor stitching and colour differences.</t>
  </si>
  <si>
    <t>new design Harmonious / Stylish / Confident</t>
  </si>
  <si>
    <t>Contact comfort and scratch resistance</t>
  </si>
  <si>
    <t>Check armrests, pull handles and switches for comfort, texture and looseness. Inspect recesses and pocket edges for scratches after approved use and cleaning tests.</t>
  </si>
  <si>
    <t>Controls and pocket usability</t>
  </si>
  <si>
    <t>Operate door releases, window and mirror controls. Check reach, hand clearance and accidental activation. Use specified items to check pocket access and retention.</t>
  </si>
  <si>
    <t>Door pull cup design/easy access of switchs</t>
  </si>
  <si>
    <t>Door-trim and speaker noise</t>
  </si>
  <si>
    <t>Listen during door closing, road driving and audio playback. Check trim creaks, pocket rattles and speaker-grille buzz. Confirm the source.</t>
  </si>
  <si>
    <t>Door and cabin design continuity</t>
  </si>
  <si>
    <t>Compare door trims with the IP, console and seats. Check lines, colours, materials and control symbols, allowing approved front/rear differences.</t>
  </si>
  <si>
    <t>Seats</t>
  </si>
  <si>
    <t>Seat covers, seams and trim</t>
  </si>
  <si>
    <t>Check seams, cover tension, headrest joints and plastic trim. Move the seat through normal positions. Look for misalignment, loose parts and interference.</t>
  </si>
  <si>
    <t>New design. DTS/RPS/datum imrpoved</t>
  </si>
  <si>
    <t>Seat-cover appearance</t>
  </si>
  <si>
    <t>Check seats before and after the specified sitting test. Look for wrinkles, uneven stitching, misaligned perforations and colour differences. Apply the specified recovery time.</t>
  </si>
  <si>
    <t>Seat comfort and surface damage</t>
  </si>
  <si>
    <t>Sit in the seat and check texture, seam pressure and support. Inspect plastic scratches after approved entry, exit and cleaning tests. Review upholstery wear-test results separately.</t>
  </si>
  <si>
    <t xml:space="preserve">leather PU cover/ fabric </t>
  </si>
  <si>
    <t>Adjustment and comfort features</t>
  </si>
  <si>
    <t>Operate fitted adjustments, folding and comfort features. Check reach, smooth movement, correct response and interference. Refer locking concerns to Seat Engineering.</t>
  </si>
  <si>
    <t>Rear Seat thigh support imroved/ seat back reclining angle imroved</t>
  </si>
  <si>
    <t>Seat movement and adjustment noise</t>
  </si>
  <si>
    <t>Listen during adjustment, occupant movement and the approved road test. Check motor noise, squeaks and rattles. Record seat position and occupant loading.</t>
  </si>
  <si>
    <t>Seat and cabin material consistency</t>
  </si>
  <si>
    <t>Compare all seat rows with the cabin design. Check materials, stitching and decorative details against the approved specification.</t>
  </si>
  <si>
    <t>HVAC</t>
  </si>
  <si>
    <t>Vent and control-panel fit</t>
  </si>
  <si>
    <t>Check vents and control-panel joints. Move vent blades through their range. Look for uneven gaps, misaligned blades and poorly seated parts.</t>
  </si>
  <si>
    <t>Vent and control appearance</t>
  </si>
  <si>
    <t>View vents and controls from normal seating positions. Check surface defects, graphics, illumination and unwanted visibility of internal hardware.</t>
  </si>
  <si>
    <t>Control feel and scratch resistance</t>
  </si>
  <si>
    <t>Move vent tabs and operate knobs and buttons. Check grip, resistance, clicks and looseness. Inspect scratches and worn graphics after approved operation and cleaning tests.</t>
  </si>
  <si>
    <t>Carry over air vent design from VF7NP</t>
  </si>
  <si>
    <t>Airflow and control response</t>
  </si>
  <si>
    <t>Select the specified fan speeds and modes. Adjust and close vents. Check airflow direction, control response and ease of use.</t>
  </si>
  <si>
    <t>Airflow and motor noise</t>
  </si>
  <si>
    <t>In a quiet cabin, test specified fan speeds and modes. Listen for whistles, buzzing, vibration and repeated actuator clicking.</t>
  </si>
  <si>
    <t>HVAC control consistency</t>
  </si>
  <si>
    <t>Compare HVAC finishes, symbols and illumination with other controls. Check that physical controls and screen controls show consistent functions and states.</t>
  </si>
  <si>
    <t>new design/ harmony with IP interior with chrome finish</t>
  </si>
  <si>
    <t>Infotainment</t>
  </si>
  <si>
    <t>Display and control fit</t>
  </si>
  <si>
    <t>Check display edges, bezel joints and controls. Look for uneven gaps, misalignment and movement during normal touch operation.</t>
  </si>
  <si>
    <t>DTS/RPS/datum imrpoved</t>
  </si>
  <si>
    <t>Display clarity and finish</t>
  </si>
  <si>
    <t>Check the screen in daylight and darkness from specified seating positions. Look for unreadable content, strong reflections, pixel defects and uneven brightness.</t>
  </si>
  <si>
    <t>carryover from Limo</t>
  </si>
  <si>
    <t>Touch feel and scratch resistance</t>
  </si>
  <si>
    <t>Tap and swipe the screen and operate physical controls. Check response and feedback. Inspect scratches, haze and coating wear after approved contact and cleaning tests.</t>
  </si>
  <si>
    <t>Customer tasks and response</t>
  </si>
  <si>
    <t>Follow the approved tasks for media, navigation, phone connection and settings. Check completion, delays, errors and recovery. Record the software version.</t>
  </si>
  <si>
    <t>Audio and system tones</t>
  </si>
  <si>
    <t>Play the specified audio at defined volumes. Listen for distortion, speaker buzz and unbalanced sound. Check system tones and identify trim-related noise separately.</t>
  </si>
  <si>
    <t>Screen and control consistency</t>
  </si>
  <si>
    <t>Compare screens and physical controls. Check consistent fonts, icons, colours, wording and feedback for the same action.</t>
  </si>
  <si>
    <t>Interior Lighting</t>
  </si>
  <si>
    <t>Lamp and light-strip fit</t>
  </si>
  <si>
    <t>Check lamp housings, lenses and light strips. Look for uneven joints, loose parts and misalignment.</t>
  </si>
  <si>
    <t>Light colour and uniformity</t>
  </si>
  <si>
    <t>Switch lights on in a dark cabin. Check bright spots, dark sections, unintended light leakage, colour differences and glare from normal seating positions.</t>
  </si>
  <si>
    <t>carryover design from Limo/LH</t>
  </si>
  <si>
    <t>Switch feel and scratch resistance</t>
  </si>
  <si>
    <t>Operate switches and touch accessible housings. Check feedback, rough edges and looseness. Inspect lens and switch scratches after approved use and cleaning tests.</t>
  </si>
  <si>
    <t>Switching and dimming</t>
  </si>
  <si>
    <t>Test manual switches, door activation, dimming and fitted colour settings. Check correct response, smooth changes and flicker.</t>
  </si>
  <si>
    <t>Switch and electrical noise</t>
  </si>
  <si>
    <t>In a quiet cabin, operate switches and change brightness. Listen for inconsistent clicks or electrical buzzing. Mark N/A where no audible operation applies.</t>
  </si>
  <si>
    <t>Cabin lighting harmony</t>
  </si>
  <si>
    <t>Compare ambient lights, displays and illuminated controls. Check colour and brightness balance against the approved design.</t>
  </si>
  <si>
    <t>Interior Hard/Soft trim</t>
  </si>
  <si>
    <t>Trim joints and edge finish</t>
  </si>
  <si>
    <t>Check pillars, headliner, carpets, sill trims and load-space trim. Look for open joints, lifted edges, exposed clips and incomplete coverage.</t>
  </si>
  <si>
    <t>carryover design</t>
  </si>
  <si>
    <t>Trim surface appearance</t>
  </si>
  <si>
    <t>Check colour, texture and fabric direction. Look for moulding marks, wrinkles, stains, frayed edges and adhesive traces, including areas exposed during normal use.</t>
  </si>
  <si>
    <t>Trim feel and surface damage</t>
  </si>
  <si>
    <t>Touch normal contact areas. Check rough seams, padding and looseness. Inspect hard-trim scratches after approved use and cleaning tests. Review fabric wear and snagging results separately.</t>
  </si>
  <si>
    <t>Operate cargo covers, access lids and removable floor panels. Check reach, movement, retention and interference. Mark operating effort N/A for fixed trim.</t>
  </si>
  <si>
    <t>Interior-trim noise</t>
  </si>
  <si>
    <t>Listen during occupant movement and the approved road test with specified cargo. Locate squeaks, buzzing and rattles. Record loading conditions.</t>
  </si>
  <si>
    <t>Cabin and load-space finish consistency</t>
  </si>
  <si>
    <t>Compare neighbouring hard trim, fabrics and carpets. Check colour, texture and material transitions against approved samples.</t>
  </si>
  <si>
    <t>Key &amp; Entry</t>
  </si>
  <si>
    <t>Key housing and cover fit</t>
  </si>
  <si>
    <t>Check key housing joints, buttons and emergency-key covers. Look for uneven gaps, misalignment and loose parts.</t>
  </si>
  <si>
    <t>Key surface and graphics</t>
  </si>
  <si>
    <t>Check the key housing, symbols and indicators. Look for scratches, moulding defects, poor printing and uneven finishes.</t>
  </si>
  <si>
    <t>Key feel and scratch resistance</t>
  </si>
  <si>
    <t>Hold the key and press each button. Check grip, edge comfort and feedback. Inspect scratches and worn markings after approved carrying and cleaning tests.</t>
  </si>
  <si>
    <t>Locking, unlocking and access</t>
  </si>
  <si>
    <t>Test fitted key-button, passive-entry, digital-key and emergency-entry functions using the approved scenarios. Check correct response and clear lock/unlock confirmation.</t>
  </si>
  <si>
    <t>Entry confirmation sound</t>
  </si>
  <si>
    <t>Lock and unlock the vehicle. Check that confirmation sounds match the actual state. Listen for abnormal handle or actuator noise.</t>
  </si>
  <si>
    <t>Key, app and vehicle feedback</t>
  </si>
  <si>
    <t>Compare key symbols, app messages and vehicle signals. Check consistent wording and feedback for the same action.</t>
  </si>
  <si>
    <t>Subjective Scoring guide line with Kansei lenguage</t>
  </si>
  <si>
    <t>* Kano category may shift by segment and brand positioning</t>
  </si>
  <si>
    <t>(e.g., Attractive in LCV, Performance in Premium)</t>
  </si>
  <si>
    <t>PALS</t>
  </si>
  <si>
    <t>Kanao</t>
  </si>
  <si>
    <t>Must/Want</t>
  </si>
  <si>
    <t>PQ Criteria
(Kano)</t>
  </si>
  <si>
    <t>Innovate
(Attractive -&gt; Performance)</t>
  </si>
  <si>
    <t>Customer Experience</t>
  </si>
  <si>
    <t>Uncompetitive</t>
  </si>
  <si>
    <t>Unacceptable
/ Below competitive</t>
  </si>
  <si>
    <t>Must Fix</t>
  </si>
  <si>
    <t>Unoriginal / Outdated / Boring</t>
  </si>
  <si>
    <t>Unacceptable; basic expectations are not met</t>
  </si>
  <si>
    <t>The assessed task cannot be completed.</t>
  </si>
  <si>
    <t>The overall appearance is seriously damaged by obvious defects.</t>
  </si>
  <si>
    <t>Parts are visibly misassembled, displaced or poorly seated.</t>
  </si>
  <si>
    <t>Parts strongly conflict in design, material or finish.</t>
  </si>
  <si>
    <t>Severe unwanted noise dominates the experience.</t>
  </si>
  <si>
    <t>Normal contact is very uncomfortable; surfaces or edges are poorly finished.</t>
  </si>
  <si>
    <t>Superficial / Cosmetic / Directionless</t>
  </si>
  <si>
    <t>Major problems; correction is clearly needed</t>
  </si>
  <si>
    <t>The task frequently fails or requires repeated attempts.</t>
  </si>
  <si>
    <t>Several major defects are obvious at first viewing.</t>
  </si>
  <si>
    <t>Large unintended gaps or steps appear at several visible joints.</t>
  </si>
  <si>
    <t>Several prominent parts look mismatched or poorly integrated.</t>
  </si>
  <si>
    <t>Loud rattles, harsh impacts or distortion occur repeatedly.</t>
  </si>
  <si>
    <t>Rough edges, unstable contact areas or severe texture inconsistency are obvious.</t>
  </si>
  <si>
    <t>Generic / Me-too / Forgettable</t>
  </si>
  <si>
    <t>Clearly below expectations; problems affect normal use</t>
  </si>
  <si>
    <t>The task works, but repeated awkward actions or high effort are needed.</t>
  </si>
  <si>
    <t>Obvious defects or uneven finishes reduce the overall appearance.</t>
  </si>
  <si>
    <t>Uneven gaps, steps or alignment errors are easily noticed.</t>
  </si>
  <si>
    <t>Colour, material or detail differences make the assembly look disconnected.</t>
  </si>
  <si>
    <t>Unwanted noise is clearly noticeable during normal operation.</t>
  </si>
  <si>
    <t>Contact areas feel flimsy, uneven or poorly finished.</t>
  </si>
  <si>
    <t>Safe / Conservative / Unexciting</t>
  </si>
  <si>
    <t>Usable, but noticeable problems reduce perceived quality</t>
  </si>
  <si>
    <t>The task can be completed, but awkward reach, effort or delays are noticeable.</t>
  </si>
  <si>
    <t>Visible finish variation or weak detailing makes the product look unrefined.</t>
  </si>
  <si>
    <t>Visible joint variation reduces the impression of assembly quality.</t>
  </si>
  <si>
    <t>Some prominent details do not match the surrounding design.</t>
  </si>
  <si>
    <t>Hollow sounds, squeaks or tonal noise reduce perceived quality.</t>
  </si>
  <si>
    <t>Local roughness, hard seams or unwanted movement reduce comfort.</t>
  </si>
  <si>
    <t>Border</t>
  </si>
  <si>
    <t>Want Fix</t>
  </si>
  <si>
    <t>Familiar / Evolutionary / Modest</t>
  </si>
  <si>
    <t>Acceptable in some areas; improvement is still noticeable</t>
  </si>
  <si>
    <t>The task works correctly, but some steps or feedback need improvement.</t>
  </si>
  <si>
    <t>The overall appearance is acceptable, but minor visible details need improvement.</t>
  </si>
  <si>
    <t>Joints are mostly aligned, with local imperfections noticeable in normal viewing.</t>
  </si>
  <si>
    <t>The design mostly works together, with a few noticeable mismatches.</t>
  </si>
  <si>
    <t>Operating sound is acceptable, but occasional unwanted noise or weak feedback remains.</t>
  </si>
  <si>
    <t>Contact feels acceptable, but texture, support or control feedback lacks consistency.</t>
  </si>
  <si>
    <t>Competitive</t>
  </si>
  <si>
    <t>Must-Be</t>
  </si>
  <si>
    <t>Practical / Useful / Mildly fresh</t>
  </si>
  <si>
    <t>Meets expected quality for the intended segment</t>
  </si>
  <si>
    <t>The task is clear and reliable, with manageable effort and response time.</t>
  </si>
  <si>
    <t>Surfaces and details look clean and balanced under normal viewing conditions.</t>
  </si>
  <si>
    <t>Gaps, steps and alignment are controlled; minor imperfections do not distract.</t>
  </si>
  <si>
    <t>Colours, materials and details work together as intended.</t>
  </si>
  <si>
    <t>Sound suits the function; unwanted noise does not distract under defined conditions.</t>
  </si>
  <si>
    <t>Contact areas are comfortable and stable; texture and control feel suit their purpose.</t>
  </si>
  <si>
    <t>Among leader</t>
  </si>
  <si>
    <t>Performance</t>
  </si>
  <si>
    <t>Meaningful / Value-adding / Modern</t>
  </si>
  <si>
    <t>Noticeably refined in normal use</t>
  </si>
  <si>
    <t>The task is smooth and predictable, with clear feedback and low effort.</t>
  </si>
  <si>
    <t>Finish and detailing show noticeable care and consistency.</t>
  </si>
  <si>
    <t>Visible joints are precise and consistent across the assembly.</t>
  </si>
  <si>
    <t>Material transitions and design details are well integrated.</t>
  </si>
  <si>
    <t>Operating sound is pleasant and controlled across normal use conditions.</t>
  </si>
  <si>
    <t>Grip, texture, support and control resistance feel refined and consistent.</t>
  </si>
  <si>
    <t>Wow / Futuristic / Impressive</t>
  </si>
  <si>
    <t>Strong execution with few weaknesses</t>
  </si>
  <si>
    <t>The task is easy to complete across different users and common use conditions.</t>
  </si>
  <si>
    <t>Surfaces and details remain well executed across different viewing angles.</t>
  </si>
  <si>
    <t>Joint quality remains consistent across visible areas and operating positions.</t>
  </si>
  <si>
    <t>Design, materials and interaction create a strongly unified experience.</t>
  </si>
  <si>
    <t>Sound remains well controlled across modes, speeds or loads relevant to the component.</t>
  </si>
  <si>
    <t>Frequently touched areas maintain refined feel across positions and repeated use.</t>
  </si>
  <si>
    <t>Leader</t>
  </si>
  <si>
    <t>Attractive</t>
  </si>
  <si>
    <t>Segment-leading / Emotional / Inspiring</t>
  </si>
  <si>
    <t>Outstanding execution compared with relevant benchmarks</t>
  </si>
  <si>
    <t>The task feels natural, with very few unnecessary actions and excellent feedback.</t>
  </si>
  <si>
    <t>Exceptional detailing creates a distinctive and well-executed appearance.</t>
  </si>
  <si>
    <t>Assembly precision and finish are consistently outstanding against relevant benchmarks.</t>
  </si>
  <si>
    <t>Material choices and details clearly express the intended design identity.</t>
  </si>
  <si>
    <t>Feedback and operating sound are exceptionally well matched to the product.</t>
  </si>
  <si>
    <t>Contact quality and feedback are exceptionally consistent and satisfying.</t>
  </si>
  <si>
    <t>Visionary / Radical / Icon-making</t>
  </si>
  <si>
    <t>Reference-level execution within the evaluated scope</t>
  </si>
  <si>
    <t>The task delivers an outstanding experience with no meaningful weakness found in the defined evaluation.</t>
  </si>
  <si>
    <t>Appearance is exceptionally resolved, with no meaningful weakness found under defined viewing conditions.</t>
  </si>
  <si>
    <t>Joints and finishes provide reference-level execution throughout the evaluated areas.</t>
  </si>
  <si>
    <t>Design, materials and interaction are fully coherent throughout the evaluated scope.</t>
  </si>
  <si>
    <t>Sound provides reference-level execution for the intended function and use conditions.</t>
  </si>
  <si>
    <t>Contact surfaces and controls provide reference-level comfort, stability and feedback.</t>
  </si>
  <si>
    <t>A&amp;U  Gate Check List</t>
  </si>
  <si>
    <t>BM1</t>
  </si>
  <si>
    <t>BM2</t>
  </si>
  <si>
    <t>BM3</t>
  </si>
  <si>
    <t>A&amp;U Criteria</t>
  </si>
  <si>
    <t>BM1 comment</t>
  </si>
  <si>
    <t>BM2 comment</t>
  </si>
  <si>
    <t>Doors &amp; Closures — Door / Sliding Door</t>
  </si>
  <si>
    <t>Accessibility / Reach</t>
  </si>
  <si>
    <t>Handle reach and entry/exit</t>
  </si>
  <si>
    <t>Ask target users to reach the handle and enter/exit. Record difficult reach, repeated attempts and assistance needed.</t>
  </si>
  <si>
    <t>Posture</t>
  </si>
  <si>
    <t>Entry/exit posture</t>
  </si>
  <si>
    <t>Observe entry and exit. Record head ducking, body twisting, high leg lifting and contact with surrounding parts.</t>
  </si>
  <si>
    <t>Carryover design/ No special customer delite features/ balanced</t>
  </si>
  <si>
    <t>Comfort</t>
  </si>
  <si>
    <t>Door operating effort</t>
  </si>
  <si>
    <t>Open and close the door using the specified method. Record grip discomfort, excessive effort and difficulty controlling movement.</t>
  </si>
  <si>
    <t>Space Efficiency</t>
  </si>
  <si>
    <t>Entry/exit clearance</t>
  </si>
  <si>
    <t>Repeat entry and exit at the specified door opening and parking clearance. Record restricted movement and head, shoulder, knee or foot contact.</t>
  </si>
  <si>
    <t>Convenience / Usability</t>
  </si>
  <si>
    <t>Daily door-use scenarios</t>
  </si>
  <si>
    <t>Complete the specified entry and exit tasks, including carrying items where applicable. Record extra steps, failed tasks and assistance needed.</t>
  </si>
  <si>
    <t>Intuitiveness</t>
  </si>
  <si>
    <t>Opening, closing and locking logic</t>
  </si>
  <si>
    <t>Ask a first-time user to open, close, lock and unlock the door without coaching. Record wrong actions and unclear state feedback.</t>
  </si>
  <si>
    <t>Visibility</t>
  </si>
  <si>
    <t>Handle, opening and step visibility</t>
  </si>
  <si>
    <t>Check in the specified day and night conditions. Record handles, door edges, steps or nearby obstacles that are difficult to see.</t>
  </si>
  <si>
    <t>Doors &amp; Closures — Hood</t>
  </si>
  <si>
    <t>Release, latch and service-point reach</t>
  </si>
  <si>
    <t>Operate the release and secondary latch, then reach the specified maintenance points. Record difficult reach and assistance needed.</t>
  </si>
  <si>
    <t>Hood opening and maintenance posture</t>
  </si>
  <si>
    <t>Open the hood and perform specified maintenance tasks. Record deep bending, extended reach, twisting and difficult working positions.</t>
  </si>
  <si>
    <t xml:space="preserve">New design Door handle semi flush </t>
  </si>
  <si>
    <t>Hood effort and movement control</t>
  </si>
  <si>
    <t>Release, lift, support and close the hood using the prescribed method. Record hand discomfort, excessive effort and difficult movement control.</t>
  </si>
  <si>
    <t>Maintenance hand and tool clearance</t>
  </si>
  <si>
    <t>Perform specified maintenance tasks with the approved tools or containers. Record hand restriction, tool interference and inaccessible working space.</t>
  </si>
  <si>
    <t>Owner-maintenance usability</t>
  </si>
  <si>
    <t>Follow the owner instructions for specified checks and fluid filling. Record extra steps, difficult access and assistance needed.</t>
  </si>
  <si>
    <t>Release, support and closing sequence</t>
  </si>
  <si>
    <t>Ask a first-time user to open, support and close the hood using available instructions. Record confusion and unclear latch confirmation.</t>
  </si>
  <si>
    <t>Latch, labels and service-point visibility</t>
  </si>
  <si>
    <t>Check the latch, support position, fluid caps and labels under specified lighting. Record items that are difficult to see or identify.</t>
  </si>
  <si>
    <t>Doors &amp; Closures — Tailgate</t>
  </si>
  <si>
    <t>Handle, closing control and cargo reach</t>
  </si>
  <si>
    <t>Ask target users to open and close the tailgate and reach designated cargo locations. Record difficult reach and assistance needed.</t>
  </si>
  <si>
    <t>Loading and unloading posture</t>
  </si>
  <si>
    <t>Load and retrieve specified items. Record deep bending, twisting, extended reach and awkward lifting.</t>
  </si>
  <si>
    <t>No special customer delite features/ balanced</t>
  </si>
  <si>
    <t>Tailgate effort and movement control</t>
  </si>
  <si>
    <t>Open and close the tailgate using the specified method. Record grip discomfort, excessive effort and difficulty controlling movement.</t>
  </si>
  <si>
    <t>Cargo opening and tailgate clearance</t>
  </si>
  <si>
    <t>Load specified cargo and check the open tailgate against defined parking and overhead clearances. Record contact, required tilting and restricted access.</t>
  </si>
  <si>
    <t>Daily cargo-access scenarios</t>
  </si>
  <si>
    <t>Complete specified shopping, luggage and family-use tasks. Record extra steps, blocked access and difficulty opening or closing with occupied hands.</t>
  </si>
  <si>
    <t>Manual/powered tailgate logic</t>
  </si>
  <si>
    <t>Ask a first-time user to open, stop and close the fitted tailgate. Record wrong button selections and unclear movement or state feedback.</t>
  </si>
  <si>
    <t>Tailgate and loading-zone visibility</t>
  </si>
  <si>
    <t>Check the handle, closing controls, tailgate edge and loading area in day and night conditions. Record difficult-to-see areas.</t>
  </si>
  <si>
    <t>Charging System — Charging Lid / Port</t>
  </si>
  <si>
    <t>Lid, port and connector reach</t>
  </si>
  <si>
    <t>Use the specified parking position and connector. Reach the lid, port and release controls. Record difficult access and assistance needed.</t>
  </si>
  <si>
    <t>Connection and disconnection posture</t>
  </si>
  <si>
    <t>Connect and disconnect the cable. Record bending, twisting, extended reach and difficulty maintaining the working position.</t>
  </si>
  <si>
    <t>Connector and cable handling</t>
  </si>
  <si>
    <t>Handle the specified connector and cable. Record grip discomfort, insertion/removal effort and difficulty supporting the cable.</t>
  </si>
  <si>
    <t>Hand and cable clearance</t>
  </si>
  <si>
    <t>Connect the cable in the specified parking space. Record hand restriction, lid interference and cable-routing conflicts.</t>
  </si>
  <si>
    <t>Daily charging scenarios</t>
  </si>
  <si>
    <t>Complete approved home and public-charging scenarios under specified lighting and weather conditions. Record failed steps, repeated attempts and assistance needed.</t>
  </si>
  <si>
    <t>Charging sequence and status</t>
  </si>
  <si>
    <t>Ask a first-time user to start and stop charging without coaching. Record wrong actions and uncertainty about connection, charging or release status.</t>
  </si>
  <si>
    <t>Port orientation and status visibility</t>
  </si>
  <si>
    <t>Check the port, connector orientation and status indicators in daylight and darkness. Record information that is difficult to see or distinguish.</t>
  </si>
  <si>
    <t>Exterior Trim — Side Step</t>
  </si>
  <si>
    <t>Step-assisted entry/exit</t>
  </si>
  <si>
    <t>Ask target users to enter and exit using the step. Record difficulty reaching the step or supporting handhold and assistance needed.</t>
  </si>
  <si>
    <t>Step-assisted body movement</t>
  </si>
  <si>
    <t>Observe step use during entry and exit. Record excessive leg lifting, twisting, awkward foot placement and body contact.</t>
  </si>
  <si>
    <t>Foot support and confidence</t>
  </si>
  <si>
    <t>Use approved footwear and surface conditions. Record pressure discomfort, unstable footing and perceived slipping. Refer slip concerns for specialist assessment.</t>
  </si>
  <si>
    <t>Usable foothold and clearance</t>
  </si>
  <si>
    <t>Check foot placement and body clearance for target users. Record insufficient foothold, door interference and restriction of the entry path.</t>
  </si>
  <si>
    <t>Daily access assistance</t>
  </si>
  <si>
    <t>Complete specified entry/exit tasks with carried items where applicable. Record whether the step helps access or creates extra movements and clothing contact.</t>
  </si>
  <si>
    <t>Step-use recognition</t>
  </si>
  <si>
    <t>Ask a first-time user to enter without coaching. Record uncertainty about where to step or where to hold.</t>
  </si>
  <si>
    <t>Step surface and edge visibility</t>
  </si>
  <si>
    <t>Check from approach and exit positions in day and night conditions. Record step surfaces or edges that are difficult to see.</t>
  </si>
  <si>
    <t>Mirror System — ORVM</t>
  </si>
  <si>
    <t>Mirror-control reach</t>
  </si>
  <si>
    <t>From the specified driving position, operate mirror controls. Record difficult reach and the need to leave the normal seated position.</t>
  </si>
  <si>
    <t>Mirror-viewing posture</t>
  </si>
  <si>
    <t>Adjust mirrors and view specified targets. Record excessive head movement, neck rotation and body leaning.</t>
  </si>
  <si>
    <t>Mirror-view comfort</t>
  </si>
  <si>
    <t>View specified targets under approved conditions. Record eye strain, distracting reflections, image vibration and perceived distortion.</t>
  </si>
  <si>
    <t>Mirror adjustment and movement clearance</t>
  </si>
  <si>
    <t>Operate fitted adjustment and folding functions. Record interference with adjacent parts or restrictions in the required movement range.</t>
  </si>
  <si>
    <t>Daily mirror functions</t>
  </si>
  <si>
    <t>Complete specified adjustment, folding, heating and memory tasks where fitted. Record extra steps, delays and unclear function status.</t>
  </si>
  <si>
    <t>Mirror-control logic</t>
  </si>
  <si>
    <t>Ask a first-time user to select, adjust and fold the mirrors. Record wrong selections and unclear control or status feedback.</t>
  </si>
  <si>
    <t>Side/rear targets and obstruction</t>
  </si>
  <si>
    <t>From specified seating positions, check defined side and rear targets. Record blocked views and extra movement needed to see them.</t>
  </si>
  <si>
    <t>Exterior Lighting System</t>
  </si>
  <si>
    <t>Lighting-control reach</t>
  </si>
  <si>
    <t>From the specified driving position, reach and operate lighting controls. Record difficult reach and controls that require body movement.</t>
  </si>
  <si>
    <t>Lighting-control posture</t>
  </si>
  <si>
    <t>Operate specified lighting functions while stationary or in an approved simulator. Record leaning, stretching and loss of normal seated posture.</t>
  </si>
  <si>
    <t xml:space="preserve">No special customer delite features/ balanced </t>
  </si>
  <si>
    <t>Driver visual comfort</t>
  </si>
  <si>
    <t>In the approved night evaluation, check reflections and bright areas visible to the driver. Record glare discomfort and difficulty viewing required targets.</t>
  </si>
  <si>
    <t>Control-operation clearance</t>
  </si>
  <si>
    <t>Check hand clearance around physical lighting controls, if fitted. Record interference or accidental contact with adjacent controls. Mark N/A if no applicable clearance check exists.</t>
  </si>
  <si>
    <t>Lighting-use scenarios</t>
  </si>
  <si>
    <t>Complete approved night, parking, approach and adverse-weather scenarios. Record difficult selection, extra steps and unclear operating status.</t>
  </si>
  <si>
    <t>Lighting modes and feedback</t>
  </si>
  <si>
    <t>Ask a first-time user to select applicable lighting modes. Record incorrect selections and uncertainty about active modes or automatic operation.</t>
  </si>
  <si>
    <t>Illuminated targets and signal recognition</t>
  </si>
  <si>
    <t>Check specified road, approach and signal targets under approved conditions. Record difficult-to-see targets and indicators. Refer performance concerns to Lighting Engineering.</t>
  </si>
  <si>
    <t>IP-control reach</t>
  </si>
  <si>
    <t>From specified seating positions, reach key controls, vents and displays. Record difficult reach and inaccessible controls.</t>
  </si>
  <si>
    <t>IP-operation posture</t>
  </si>
  <si>
    <t>Operate specified controls. Record leaning, twisting, shoulder lifting and loss of back support.</t>
  </si>
  <si>
    <t>No special customer delite features/ balanced / competitive with BYD dolphin</t>
  </si>
  <si>
    <t>Repeated-control-use comfort</t>
  </si>
  <si>
    <t>Repeat specified control tasks. Record hand or arm discomfort, visual discomfort and perceived mental effort.</t>
  </si>
  <si>
    <t>Hand clearance and layout spacing</t>
  </si>
  <si>
    <t>Check hand clearance around controls and vents. Record interference, cramped operation and unintended contact with neighbouring parts.</t>
  </si>
  <si>
    <t>Daily driver-control tasks</t>
  </si>
  <si>
    <t>Complete specified driver-control tasks while stationary or in an approved simulator. Record extra steps, errors and assistance needed.</t>
  </si>
  <si>
    <t>Control grouping and information logic</t>
  </si>
  <si>
    <t>Ask a first-time user to find and operate specified functions. Record searching, wrong selections and unclear information.</t>
  </si>
  <si>
    <t>Displays, warnings and control visibility</t>
  </si>
  <si>
    <t>Check cluster, displays and controls from specified eye positions in day and night conditions. Record blocked information, reflections and unreadable symbols.</t>
  </si>
  <si>
    <t>Steering Wheel System</t>
  </si>
  <si>
    <t>Button and control reach</t>
  </si>
  <si>
    <t>From the specified driving posture, operate each control. Record thumb stretching, grip changes and inaccessible controls.</t>
  </si>
  <si>
    <t>Grip and arm posture</t>
  </si>
  <si>
    <t>Hold the wheel at specified grip positions. Record bent wrists, raised shoulders, overextended arms and loss of back support.</t>
  </si>
  <si>
    <t xml:space="preserve">wireless charger/ USP C </t>
  </si>
  <si>
    <t>Grip and button comfort</t>
  </si>
  <si>
    <t>Hold the wheel and repeat specified button operations. Record pressure points, seam discomfort, grip fatigue and excessive button effort.</t>
  </si>
  <si>
    <t>Hand and body clearance</t>
  </si>
  <si>
    <t>Check specified seat and wheel positions. Record hand or knee interference and restricted operating space.</t>
  </si>
  <si>
    <t>Steering-control tasks</t>
  </si>
  <si>
    <t>Complete specified control tasks while stationary or in an approved simulator. Record errors, accidental activation and unnecessary grip changes.</t>
  </si>
  <si>
    <t>Button meaning and grouping</t>
  </si>
  <si>
    <t>Ask a first-time user to identify and operate specified functions. Record misunderstood symbols, wrong buttons and unclear feedback.</t>
  </si>
  <si>
    <t>Buttons and cluster visibility</t>
  </si>
  <si>
    <t>Check button symbols and cluster information across specified seat and wheel positions. Record blocked or difficult-to-read information.</t>
  </si>
  <si>
    <t>Center Console</t>
  </si>
  <si>
    <t>Console-feature reach</t>
  </si>
  <si>
    <t>From specified seating positions, reach storage, cupholders, charging areas and controls. Record difficult reach and inaccessible features.</t>
  </si>
  <si>
    <t>Console-operation posture</t>
  </si>
  <si>
    <t>Use specified console features. Record twisting, leaning, shoulder strain and awkward arm movement.</t>
  </si>
  <si>
    <t>Arm support and contact comfort</t>
  </si>
  <si>
    <t>Use the armrest and console features for the specified duration. Record pressure points, unsupported arms and uncomfortable contact.</t>
  </si>
  <si>
    <t>Item fit and operating clearance</t>
  </si>
  <si>
    <t>Place specified cups, phones and items in the console. Record poor fit, hand restriction and interference between features.</t>
  </si>
  <si>
    <t>Daily console tasks</t>
  </si>
  <si>
    <t>Store and retrieve specified items and use fitted charging functions. Record extra steps, difficult removal and restrictions during simultaneous use.</t>
  </si>
  <si>
    <t>Console layout and controls</t>
  </si>
  <si>
    <t>Ask a first-time user to locate and use specified features. Record unclear openings, controls, item orientation and status feedback.</t>
  </si>
  <si>
    <t>Console controls and stored items</t>
  </si>
  <si>
    <t>Check controls, openings and charging indicators in day and night conditions. Record hidden items, unreadable symbols and difficult-to-see status.</t>
  </si>
  <si>
    <t>Handle, switch and pocket reach</t>
  </si>
  <si>
    <t>From specified seating positions, reach handles, switches and pockets. Record difficult reach and inaccessible features.</t>
  </si>
  <si>
    <t>Armrest and switch-use posture</t>
  </si>
  <si>
    <t>Rest the arm and operate switches. Record raised shoulders, bent wrists and awkward elbow or body positions.</t>
  </si>
  <si>
    <t>Arm and hand-contact comfort</t>
  </si>
  <si>
    <t>Use the armrest, handle and switches for the specified duration. Record pressure points, hard-edge contact and operating discomfort.</t>
  </si>
  <si>
    <t>Pocket capacity and arm clearance</t>
  </si>
  <si>
    <t>Use specified pocket items and arm positions. Record poor fit, restricted hand clearance and interference with occupants or controls.</t>
  </si>
  <si>
    <t>Door-trim use scenarios</t>
  </si>
  <si>
    <t>Complete specified release, locking, window and storage tasks. Record extra steps, accidental activation and difficult item retrieval.</t>
  </si>
  <si>
    <t>Switch grouping and operation logic</t>
  </si>
  <si>
    <t>Ask a first-time user to operate specified switches and releases. Record wrong selections, unclear symbols and confusing operation.</t>
  </si>
  <si>
    <t>Handle, switch and indicator visibility</t>
  </si>
  <si>
    <t>Check handles, switch symbols, pockets and lock indicators in day and night conditions. Record difficult-to-see features.</t>
  </si>
  <si>
    <t>HVAC System</t>
  </si>
  <si>
    <t>HVAC-control and vent reach</t>
  </si>
  <si>
    <t>From specified seating positions, reach HVAC controls and vent adjusters. Record difficult reach and inaccessible controls.</t>
  </si>
  <si>
    <t>HVAC-operation posture</t>
  </si>
  <si>
    <t>Adjust temperature, mode and vent direction. Record leaning, stretching and awkward hand or arm positions.</t>
  </si>
  <si>
    <t>Thermal and airflow comfort</t>
  </si>
  <si>
    <t>Use specified climate settings and conditions. Record hot/cold discomfort, unwanted drafts and uneven comfort across occupied seats.</t>
  </si>
  <si>
    <t>Vent and control-operation clearance</t>
  </si>
  <si>
    <t>Operate vent adjusters and physical controls where fitted. Record restricted hand space, interference and limited usable adjustment.</t>
  </si>
  <si>
    <t>Daily climate tasks</t>
  </si>
  <si>
    <t>Complete specified cooling, heating and demisting tasks. Record extra steps, errors and difficulty achieving the requested setting.</t>
  </si>
  <si>
    <t>Climate-control logic</t>
  </si>
  <si>
    <t>Ask a first-time user to set temperature, fan, mode and applicable automatic functions. Record misunderstood icons and unclear active states.</t>
  </si>
  <si>
    <t>HVAC information and status</t>
  </si>
  <si>
    <t>Check settings, icons and active-state indications in day and night conditions. Record unreadable or ambiguous information.</t>
  </si>
  <si>
    <t>Infotainment System</t>
  </si>
  <si>
    <t>Screen and control reach</t>
  </si>
  <si>
    <t>From specified seating positions, reach required screen areas and physical controls. Record difficult reach and inaccessible touch targets.</t>
  </si>
  <si>
    <t>Touchscreen-operation posture</t>
  </si>
  <si>
    <t>Perform specified screen tasks. Record extended reach, body leaning, shoulder lifting and unsupported arm positions.</t>
  </si>
  <si>
    <t>Visual and mental comfort</t>
  </si>
  <si>
    <t>Complete specified tasks under approved conditions. Record eye strain, perceived mental effort and difficulty maintaining attention.</t>
  </si>
  <si>
    <t>Touch-target spacing and hand clearance</t>
  </si>
  <si>
    <t>Check frequently used touch targets and surrounding hand space. Record cramped selection, unintended adjacent presses and physical interference.</t>
  </si>
  <si>
    <t>Navigation, media and phone tasks</t>
  </si>
  <si>
    <t>Complete approved navigation, media, phone and settings tasks. Record failed steps, delays and recovery difficulties. Record the software version.</t>
  </si>
  <si>
    <t>Menu structure and feedback</t>
  </si>
  <si>
    <t>Ask a first-time user to complete specified tasks without coaching. Record wrong selections, backtracking and unclear feedback.</t>
  </si>
  <si>
    <t>Screen readability and reflections</t>
  </si>
  <si>
    <t>Check screen content in day, night and specified sunlight conditions. Record reflections, unreadable content and poor symbol contrast.</t>
  </si>
  <si>
    <t>From relevant seats and access positions, reach fitted lighting controls. Record difficult reach and inaccessible controls.</t>
  </si>
  <si>
    <t>Lighting-operation posture</t>
  </si>
  <si>
    <t>Operate lights during specified seating, reading and storage tasks. Record stretching, twisting and awkward arm positions.</t>
  </si>
  <si>
    <t>Brightness and glare comfort</t>
  </si>
  <si>
    <t>From specified seating positions, use the lighting settings. Record direct glare, distracting reflections and brightness discomfort.</t>
  </si>
  <si>
    <t>Lighting-control clearance</t>
  </si>
  <si>
    <t>Check hand clearance around physical lighting controls, if fitted. Record interference with adjacent parts. Mark N/A where no applicable clearance check exists.</t>
  </si>
  <si>
    <t>Night-use tasks</t>
  </si>
  <si>
    <t>Complete specified entry, reading, item-search and loading tasks in darkness. Record extra actions and tasks made difficult by the lighting.</t>
  </si>
  <si>
    <t>Lighting-control and automatic logic</t>
  </si>
  <si>
    <t>Ask a first-time user to switch, dim and select fitted lighting functions. Record wrong actions and confusion about automatic activation or switch-off.</t>
  </si>
  <si>
    <t>Task-area and object visibility</t>
  </si>
  <si>
    <t>In a dark cabin, read and find specified objects. Record dark areas, shadows and lighting that prevents clear viewing.</t>
  </si>
  <si>
    <t>Interior Storage / Trunk / Cargo</t>
  </si>
  <si>
    <t>Storage opening and item reach</t>
  </si>
  <si>
    <t>Open each specified storage area and retrieve designated items. Record difficult reach and assistance needed.</t>
  </si>
  <si>
    <t>Item placement and retrieval posture</t>
  </si>
  <si>
    <t>Item and cover-handling comfort</t>
  </si>
  <si>
    <t>Handle specified items, covers and floor panels. Record grip discomfort, pressure points and excessive operating effort.</t>
  </si>
  <si>
    <t>Usable storage capacity</t>
  </si>
  <si>
    <t>Place specified items in each area. Check lid closure and retrieval space. Record items that do not fit and unusable space.</t>
  </si>
  <si>
    <t>Daily storage and cargo tasks</t>
  </si>
  <si>
    <t>Store, secure and retrieve specified daily items, luggage and equipment. Record extra steps, unstable storage and blocked access.</t>
  </si>
  <si>
    <t>Covers, dividers and floor-panel logic</t>
  </si>
  <si>
    <t>Ask a first-time user to open and configure fitted storage features. Record wrong actions and unclear release or positioning instructions.</t>
  </si>
  <si>
    <t>Storage contents and attachment points</t>
  </si>
  <si>
    <t>Check contents, hooks, floor edges and compartments under specified lighting. Record items and features that are difficult to see.</t>
  </si>
  <si>
    <t>Seats &amp; Restraints — 1st Row</t>
  </si>
  <si>
    <t>Seat, belt and adjustment reach</t>
  </si>
  <si>
    <t>Ask target users to reach adjustments, belt, buckle and headrest controls. Record difficult reach and assistance needed.</t>
  </si>
  <si>
    <t>Driving and passenger posture</t>
  </si>
  <si>
    <t>Ask target users to adjust the seat and wheel where applicable. Record pedal or steering stretching, awkward joint positions and loss of support.</t>
  </si>
  <si>
    <t>Seat comfort over intended duration</t>
  </si>
  <si>
    <t>Use the approved seating or driving duration. Record pressure, numbness, discomfort location and repeated posture changes.</t>
  </si>
  <si>
    <t>Occupant room and adjustment clearance</t>
  </si>
  <si>
    <t>Check target users across required seat positions. Record head, shoulder, knee and foot restrictions and adjustment interference.</t>
  </si>
  <si>
    <t>Seat and restraint use</t>
  </si>
  <si>
    <t>Complete fitted adjustment, memory and comfort-feature tasks. Fasten and release the belt. Record extra steps, errors and assistance needed.</t>
  </si>
  <si>
    <t>Adjustment controls and feedback</t>
  </si>
  <si>
    <t>Ask a first-time user to adjust the seat and use fitted memory functions. Record wrong directions, unclear controls and ambiguous position feedback.</t>
  </si>
  <si>
    <t>Views from adjusted seating positions</t>
  </si>
  <si>
    <t>Check required forward, side, mirror, cluster and control views from specified seating positions. Record blocked or difficult views.</t>
  </si>
  <si>
    <t>Seats &amp; Restraints — 2nd Row</t>
  </si>
  <si>
    <t>Passenger access and feature reach</t>
  </si>
  <si>
    <t>Ask target users to enter, sit and reach belts, buckles and fitted amenities. Record difficult access and assistance needed.</t>
  </si>
  <si>
    <t>Passenger seating posture</t>
  </si>
  <si>
    <t>Seat target users with the front seats in approved reference positions. Record awkward hip, knee, back and foot positions.</t>
  </si>
  <si>
    <t>Passenger comfort over intended duration</t>
  </si>
  <si>
    <t>Use the approved seating or ride duration. Record pressure points, unsupported areas and repeated posture changes.</t>
  </si>
  <si>
    <t>Passenger room and clearance</t>
  </si>
  <si>
    <t>Set front seats to approved reference positions. Record head, knee, shoulder and foot restrictions for target passengers.</t>
  </si>
  <si>
    <t>Passenger and child-seat tasks</t>
  </si>
  <si>
    <t>Use fitted amenities and seat functions. Install specified child seats according to instructions. Record buckle, access and adjustment difficulties.</t>
  </si>
  <si>
    <t>Seat functions and attachment identification</t>
  </si>
  <si>
    <t>Ask users to operate fitted slide, recline and folding functions. Check identification of belt buckles and child-seat points. Record confusion.</t>
  </si>
  <si>
    <t>Passenger views and feature visibility</t>
  </si>
  <si>
    <t>Check outside views and fitted controls from target seating positions. Record blocked views and difficult-to-see controls or indicators.</t>
  </si>
  <si>
    <t>Seats &amp; Restraints — 3rd Row</t>
  </si>
  <si>
    <t>Third-row entry/exit and feature reach</t>
  </si>
  <si>
    <t>Use the specified second-row access position. Ask target users to enter, exit and reach belts or buckles. Record assistance and access difficulty.</t>
  </si>
  <si>
    <t>Access and seating posture</t>
  </si>
  <si>
    <t>Observe target users entering and sitting. Record crouching, twisting, awkward knee positions and lack of foot support.</t>
  </si>
  <si>
    <t>Comfort for intended users and duration</t>
  </si>
  <si>
    <t>Seat target users for the approved duration. Record pressure, limited support and discomfort. Apply the program-defined use case.</t>
  </si>
  <si>
    <t>Passenger room and access clearance</t>
  </si>
  <si>
    <t>Set preceding rows to approved positions. Record head, shoulder, knee and foot restrictions and available entry-path space.</t>
  </si>
  <si>
    <t>Access, folding and passenger tasks</t>
  </si>
  <si>
    <t>Complete specified access, belt-use, folding and amenity tasks. Record extra steps, assistance needed and difficulty restoring seats.</t>
  </si>
  <si>
    <t>Access and folding sequence</t>
  </si>
  <si>
    <t>Ask a first-time user to access, fold and restore the seats. Record wrong actions and unclear position or latch confirmation.</t>
  </si>
  <si>
    <t>Access path and passenger views</t>
  </si>
  <si>
    <t>Check the entry path, seat features and outside view under specified lighting. Record difficult-to-see steps, controls and blocked views.</t>
  </si>
  <si>
    <t>Key / Entry System</t>
  </si>
  <si>
    <t>Key, entry and start access</t>
  </si>
  <si>
    <t>Use fitted key, phone-key and start interfaces in specified scenarios. Record difficult access to the device, controls or backup location.</t>
  </si>
  <si>
    <t>Entry and start movement</t>
  </si>
  <si>
    <t>Approach, unlock, enter and start using fitted methods. Record awkward device handling, bending, twisting and unnecessary body movement.</t>
  </si>
  <si>
    <t>Key handling and response feel</t>
  </si>
  <si>
    <t>Carry and operate the specified key or phone. Record grip discomfort, button effort and discomfort caused by uncertain or delayed response.</t>
  </si>
  <si>
    <t>Key storage and backup placement</t>
  </si>
  <si>
    <t>Place the specified key or phone in intended storage and backup locations. Record poor fit, interference and difficult retrieval.</t>
  </si>
  <si>
    <t>Daily and backup-entry scenarios</t>
  </si>
  <si>
    <t>Complete fitted passive-entry, remote, locking, start and backup-use scenarios. Record failed steps, repeated attempts and assistance needed.</t>
  </si>
  <si>
    <t>Entry sequence and state feedback</t>
  </si>
  <si>
    <t>Ask a first-time user to unlock, enter, start and lock. Record wrong actions and state uncertainty. Check visual, audible and haptic feedback.</t>
  </si>
  <si>
    <t>Visual state indication</t>
  </si>
  <si>
    <t>Check lock, unlock and start indications in daylight and darkness. Record indicators or messages that are difficult to see or distinguish.</t>
  </si>
  <si>
    <t>Kano</t>
  </si>
  <si>
    <t>Must / Want</t>
  </si>
  <si>
    <t>Accessibility</t>
  </si>
  <si>
    <t>Convenience &amp; Usability</t>
  </si>
  <si>
    <t>Unacceptable / Below competitive</t>
  </si>
  <si>
    <t>The required feature cannot be reached or accessed by the target user.</t>
  </si>
  <si>
    <t>The task cannot be completed in a usable posture.</t>
  </si>
  <si>
    <t>Pain or severe discomfort prevents continued use.</t>
  </si>
  <si>
    <t>The target occupant or required item cannot be accommodated.</t>
  </si>
  <si>
    <t>The required task cannot be completed.</t>
  </si>
  <si>
    <t>The user cannot understand how to complete the task without assistance.</t>
  </si>
  <si>
    <t>The required object or information cannot be seen from the intended position.</t>
  </si>
  <si>
    <t>Access requires assistance or a major change of body position.</t>
  </si>
  <si>
    <t>Deep bending, strong twisting or extended reach is repeatedly required.</t>
  </si>
  <si>
    <t>Strong pressure or fatigue requires the user to stop or change position frequently.</t>
  </si>
  <si>
    <t>Severe space restrictions prevent normal movement or item handling.</t>
  </si>
  <si>
    <t>The task frequently fails or requires assistance and repeated attempts.</t>
  </si>
  <si>
    <t>The user repeatedly selects the wrong action and needs substantial guidance.</t>
  </si>
  <si>
    <t>Major obstruction, glare or poor lighting makes the required target very difficult to see.</t>
  </si>
  <si>
    <t>Access requires noticeable stretching, leaning or several attempts.</t>
  </si>
  <si>
    <t>The task requires an awkward posture that is difficult to maintain.</t>
  </si>
  <si>
    <t>Clear discomfort develops during the specified use period.</t>
  </si>
  <si>
    <t>Several contact or interference points restrict normal use.</t>
  </si>
  <si>
    <t>The task is completed with repeated extra steps, errors or workarounds.</t>
  </si>
  <si>
    <t>The user completes the task only after repeated trial and error.</t>
  </si>
  <si>
    <t>The user must repeatedly reposition or search to see the required target.</t>
  </si>
  <si>
    <t>Access is possible, but noticeable reach effort or repositioning remains.</t>
  </si>
  <si>
    <t>Some bending, twisting or loss of support is needed during normal use.</t>
  </si>
  <si>
    <t>Local pressure or discomfort reduces the quality of normal use.</t>
  </si>
  <si>
    <t>Local clearance restrictions require repositioning of the body or items.</t>
  </si>
  <si>
    <t>The task works, but awkward steps or occasional retries are needed.</t>
  </si>
  <si>
    <t>The user hesitates or makes an incorrect selection before understanding the task.</t>
  </si>
  <si>
    <t>Some required targets are difficult to see because of obstruction, glare or low contrast.</t>
  </si>
  <si>
    <t>Access is acceptable, with minor stretching or repositioning.</t>
  </si>
  <si>
    <t>The posture is acceptable, but local awkwardness remains.</t>
  </si>
  <si>
    <t>Comfort is acceptable, but mild discomfort remains over the specified duration.</t>
  </si>
  <si>
    <t>Occupants and items fit, but usable clearance or retrieval space is limited.</t>
  </si>
  <si>
    <t>The task is completed reliably, but avoidable steps or inconvenience remain.</t>
  </si>
  <si>
    <t>The user understands the task after brief searching or a minor correction.</t>
  </si>
  <si>
    <t>The target can be seen, but some viewing effort or adjustment is needed.</t>
  </si>
  <si>
    <t>Required features are reached using normal movement for the task.</t>
  </si>
  <si>
    <t>The task is completed in a natural posture with adequate support.</t>
  </si>
  <si>
    <t>Comfort meets the approved target over the specified use duration.</t>
  </si>
  <si>
    <t>Target occupants and items fit with sufficient clearance for normal use.</t>
  </si>
  <si>
    <t>The task is completed reliably with clear steps and manageable effort.</t>
  </si>
  <si>
    <t>The user completes the task with little hesitation and clear feedback.</t>
  </si>
  <si>
    <t>Required targets are clearly visible under the defined evaluation conditions.</t>
  </si>
  <si>
    <t>Among Leader</t>
  </si>
  <si>
    <t>Access is easy and repeatable, with little need to reposition.</t>
  </si>
  <si>
    <t>The posture remains natural and supported throughout the task.</t>
  </si>
  <si>
    <t>Support and contact feel remain comfortable during repeated use.</t>
  </si>
  <si>
    <t>Space supports easy movement, placement and retrieval of specified items.</t>
  </si>
  <si>
    <t>The task is smooth and predictable, with few unnecessary actions.</t>
  </si>
  <si>
    <t>The user quickly identifies the correct action and understands the result.</t>
  </si>
  <si>
    <t>Targets are easy to identify, with well-controlled glare and obstruction.</t>
  </si>
  <si>
    <t>Access remains easy across the defined users and common use scenarios.</t>
  </si>
  <si>
    <t>Good posture is maintained across the defined users and adjustment positions.</t>
  </si>
  <si>
    <t>Comfort remains consistent across the defined users and intended conditions.</t>
  </si>
  <si>
    <t>Space supports the specified uses together with little interference.</t>
  </si>
  <si>
    <t>The task remains easy across common scenarios, with clear recovery from errors.</t>
  </si>
  <si>
    <t>Related tasks use consistent logic and require little learning.</t>
  </si>
  <si>
    <t>Visibility remains clear across the specified positions and lighting conditions.</t>
  </si>
  <si>
    <t>Access is exceptionally well resolved against relevant benchmarks.</t>
  </si>
  <si>
    <t>Posture and support are exceptionally well resolved against relevant benchmarks.</t>
  </si>
  <si>
    <t>Comfort and support are outstanding over the intended use duration.</t>
  </si>
  <si>
    <t>Available space is exceptionally usable without compromising neighbouring functions.</t>
  </si>
  <si>
    <t>The complete use sequence is exceptionally convenient against relevant benchmarks.</t>
  </si>
  <si>
    <t>First-time use is exceptionally clear, including status and error recovery.</t>
  </si>
  <si>
    <t>Required targets are exceptionally easy to identify against relevant benchmarks.</t>
  </si>
  <si>
    <t>Reference-level access is demonstrated throughout the evaluated scope.</t>
  </si>
  <si>
    <t>Reference-level posture and support are demonstrated throughout the evaluated scope.</t>
  </si>
  <si>
    <t>Reference-level comfort is demonstrated for the defined users and duration.</t>
  </si>
  <si>
    <t>Reference-level space utilization is demonstrated for the specified occupants and tasks.</t>
  </si>
  <si>
    <t>Reference-level task flow is demonstrated with no meaningful usability weakness found.</t>
  </si>
  <si>
    <t>Reference-level first-use understanding is demonstrated throughout the evaluated tasks.</t>
  </si>
  <si>
    <t>Reference-level visibility is demonstrated throughout the defined evaluation conditions.</t>
  </si>
  <si>
    <t>⏹ Issue clarifications (Safety/Functionality/Appearance)</t>
  </si>
  <si>
    <t>Group</t>
  </si>
  <si>
    <t>Effect</t>
  </si>
  <si>
    <t>VF DFMEA Severity</t>
  </si>
  <si>
    <t>VF JIRA Severity</t>
  </si>
  <si>
    <t xml:space="preserve"> VCA Mapping</t>
  </si>
  <si>
    <t>Classification</t>
  </si>
  <si>
    <t>Customer Effect Criteria</t>
  </si>
  <si>
    <t>Assessment Checkpoints</t>
  </si>
  <si>
    <t>Lead Assessment Group / PIC</t>
  </si>
  <si>
    <t>Supporting Assessment Groups</t>
  </si>
  <si>
    <t>Must Fix / Want Fix</t>
  </si>
  <si>
    <t>Deviation Eligibility</t>
  </si>
  <si>
    <t>Example</t>
  </si>
  <si>
    <t>Safety / Regulatory</t>
  </si>
  <si>
    <t>Failure to Meet Safety and/or Regulatory Requirements</t>
  </si>
  <si>
    <t>PS / PL</t>
  </si>
  <si>
    <t>&lt;CC&gt;
Critical Characteristics</t>
  </si>
  <si>
    <t>Affects safe vehicle operation and/or regulatory compliance without warning</t>
  </si>
  <si>
    <t>Safety hazard; applicable legal requirement; warning availability and effectiveness</t>
  </si>
  <si>
    <t>Safety / FuSa / VPAC; Homologation / Compliance for regulatory issues</t>
  </si>
  <si>
    <t>Relevant System / Component Engineering; EE / Software; Validation / DVP; VCA / Quality; Manufacturing / Supplier Quality; After-sales</t>
  </si>
  <si>
    <t>Not permitted — correction and verification required</t>
  </si>
  <si>
    <t>1. Brakes fail without warning, preventing safe stopping.
2. Steering control is lost without warning.
3. An electrical fault causes a fire without warning.</t>
  </si>
  <si>
    <t>Affects safe vehicle operation and/or regulatory compliance with warning</t>
  </si>
  <si>
    <t>1. Brakes fail despite a warning, preventing safe stopping.
2. Steering control is lost despite a warning.
3. An electrical fault causes a fire despite a warning.</t>
  </si>
  <si>
    <t>Functional</t>
  </si>
  <si>
    <t>Loss or Degradation of Primary Function</t>
  </si>
  <si>
    <t>W</t>
  </si>
  <si>
    <t>&lt;SC&gt;
Significant Characteristics</t>
  </si>
  <si>
    <t>Loss of primary function; vehicle inoperable, without affecting safe operation</t>
  </si>
  <si>
    <t>Vehicle operability; failed driving function; performance against approved requirements</t>
  </si>
  <si>
    <t>Relevant Function Engineering Team + VCA</t>
  </si>
  <si>
    <t>Vehicle Architecture; EE / Software / Controls; Validation / Reliability; Manufacturing / QE / QC; Supplier Quality; After-sales; relevant attribute teams</t>
  </si>
  <si>
    <t>1. The parked vehicle cannot enter Ready mode.
2. Drive cannot be selected while parked.
3. The parked vehicle has no drive power.</t>
  </si>
  <si>
    <t>Degradation of primary function; vehicle operable with reduced performance</t>
  </si>
  <si>
    <t>1. Drive power is below the required level.
2. Acceleration is below the required performance.
3. Vehicle speed is unexpectedly limited below the required level.</t>
  </si>
  <si>
    <t>Loss or Degradation of Secondary Function</t>
  </si>
  <si>
    <t>A</t>
  </si>
  <si>
    <t>&lt;HIC&gt;
High Importance Characteristics</t>
  </si>
  <si>
    <t>Loss of secondary function; vehicle operable, but comfort/convenience function inoperable</t>
  </si>
  <si>
    <t>Function availability; operating performance; required user effort; daily-use inconvenience</t>
  </si>
  <si>
    <t>Relevant Function Engineering Team + VCA; A&amp;U for usability and ergonomics</t>
  </si>
  <si>
    <t>EE / Software / UX; Vehicle Architecture; Validation / Reliability; PQ / GD&amp;T where applicable; Manufacturing / QE / QC; Supplier Quality; After-sales</t>
  </si>
  <si>
    <t>1. The seat heater does not work.
2. The audio system produces no sound.
3. The seat massage function does not work.</t>
  </si>
  <si>
    <t>Degradation of secondary function; reduced comfort/convenience performance</t>
  </si>
  <si>
    <t>1. The seat heater takes longer than the required warm-up time.
2. The audio system repeatedly cuts out.
3. Seat massage strength is below the required level.</t>
  </si>
  <si>
    <t>Appearance / Sound / Perceived Quality</t>
  </si>
  <si>
    <t>Customer Perception/ Annoyance</t>
  </si>
  <si>
    <t>B</t>
  </si>
  <si>
    <t>&lt;STD&gt;
Standard Characteristics</t>
  </si>
  <si>
    <t>Appearance or audible-noise nonconformity noticed by most customers &gt;75%</t>
  </si>
  <si>
    <t>Visibility / audibility under defined conditions; gap / flush consistency; surface defects; colour / grain / gloss harmony; customer acceptance</t>
  </si>
  <si>
    <t>Relevant Attribute Owner + VCA: PQ / GD&amp;T / A&amp;U / Sound–NVH, according to the issue</t>
  </si>
  <si>
    <t>Styling / CMF; Body / Interior / Exterior Engineering; EE / UX where applicable; Materials / Paint; Validation / Reliability; Manufacturing / QE / QC; Supplier Quality; After-sales</t>
  </si>
  <si>
    <t xml:space="preserve">Must Fix </t>
  </si>
  <si>
    <t>1. Easily visible permanent trim scratches/Sink /gate /paint defects
2. Excessive wind noise fails the highway-driving acceptance criteria.
3. Uneven panel gaps fail the appearance acceptance criteria.</t>
  </si>
  <si>
    <t>C</t>
  </si>
  <si>
    <t>Appearance or audible-noise nonconformity noticed by many customers &gt;50%</t>
  </si>
  <si>
    <t>May be approved based on condition</t>
  </si>
  <si>
    <t>1. A small trim colour difference is noticeable but acceptable.
2. A minor panel alignment difference is noticeable but acceptable.
3. A slightly hollow switch sound is noticeable but acceptable.</t>
  </si>
  <si>
    <t>Appearance or audible-noise nonconformity noticed by discriminating customers &gt;25%, per internal source</t>
  </si>
  <si>
    <t>1. A minor trim gloss difference is acceptable.
2. A slight grain difference between trim parts is acceptable.
3. A faint trim squeak under specific conditions is acceptable.</t>
  </si>
  <si>
    <t>No effect</t>
  </si>
  <si>
    <t>No issue / lowest classification</t>
  </si>
  <si>
    <t>No discernible effect</t>
  </si>
  <si>
    <t>Confirm no customer effect and check mandatory requirement</t>
  </si>
  <si>
    <t>Relevant Attribute / Function Owner</t>
  </si>
  <si>
    <t>VCA / Quality and other affected groups, as required</t>
  </si>
  <si>
    <r>
      <t>No Fix Required</t>
    </r>
    <r>
      <rPr>
        <sz val="11"/>
        <color theme="1"/>
        <rFont val="Calibri"/>
        <family val="2"/>
        <scheme val="minor"/>
      </rPr>
      <t xml:space="preserve"> </t>
    </r>
  </si>
  <si>
    <t>Generally not required</t>
  </si>
  <si>
    <t>1. A hidden trim surface has a cosmetic mark with no other effect.
2. A hidden moulding mark has no customer or performance effect.
3. A hidden colour difference has no customer or performance effect.</t>
  </si>
  <si>
    <r>
      <rPr>
        <b/>
        <sz val="14"/>
        <color rgb="FF000000"/>
        <rFont val="Segoe UI Emoji"/>
        <family val="2"/>
      </rPr>
      <t>⏹ Must fix</t>
    </r>
    <r>
      <rPr>
        <b/>
        <sz val="11.9"/>
        <color rgb="FF000000"/>
        <rFont val="Arial"/>
        <family val="2"/>
      </rPr>
      <t xml:space="preserve"> </t>
    </r>
    <r>
      <rPr>
        <b/>
        <sz val="14"/>
        <color rgb="FF000000"/>
        <rFont val="Arial"/>
        <family val="2"/>
      </rPr>
      <t>Permanent Deviation Proposal Eligibility</t>
    </r>
  </si>
  <si>
    <t>Permanent Deviation may be proposed by the responsible Engineering organization when one or more of the following conditions exist:</t>
  </si>
  <si>
    <t>1. Engineering or technical limitations prevent full compliance within the program timeline.</t>
  </si>
  <si>
    <t>2. Manufacturing or process limitations prevent achievement of the target requirement.</t>
  </si>
  <si>
    <t>3. The cost required for correction is disproportionate to the customer benefit or business impact.</t>
  </si>
  <si>
    <t>4. The implementation timing required for correction is not compatible with the approved program milestone or SOP timing.</t>
  </si>
  <si>
    <t>5. Customer impact is assessed as low and acceptable based on cross-functional evaluation.</t>
  </si>
  <si>
    <r>
      <rPr>
        <b/>
        <sz val="14"/>
        <color rgb="FF000000"/>
        <rFont val="Segoe UI Emoji"/>
        <family val="2"/>
      </rPr>
      <t xml:space="preserve">⏹ Must fix </t>
    </r>
    <r>
      <rPr>
        <b/>
        <sz val="14"/>
        <color rgb="FF000000"/>
        <rFont val="Arial"/>
        <family val="2"/>
      </rPr>
      <t>Permanent Deviation Approval Rules</t>
    </r>
  </si>
  <si>
    <t>Permanent Deviation may only be considered when all conditions below are satisfied:</t>
  </si>
  <si>
    <t>1. No Safety impact.</t>
  </si>
  <si>
    <t>2. No Regulatory / Homologation impact.</t>
  </si>
  <si>
    <t>3. No Primary Function impact.</t>
  </si>
  <si>
    <t>4. Customer impact is acceptable.</t>
  </si>
  <si>
    <t>5. Robust containment is implemented.</t>
  </si>
  <si>
    <t>6. Corrective action timing is approved.</t>
  </si>
  <si>
    <t>7. Cross-functional assessment is completed.</t>
  </si>
  <si>
    <t>8. Approval by the responsible quality authority is obtained.</t>
  </si>
  <si>
    <t>BYD</t>
  </si>
  <si>
    <t>Competitive Position</t>
  </si>
  <si>
    <t>Assessment</t>
  </si>
  <si>
    <t>VF6NP Leading</t>
  </si>
  <si>
    <t>Clear improvement, strong usability execution</t>
  </si>
  <si>
    <t>Strong design quality and premium perception</t>
  </si>
  <si>
    <t>VF6NP Strong Leader</t>
  </si>
  <si>
    <t>Best-in-class execution, major gap closure</t>
  </si>
  <si>
    <t>BYD Leading</t>
  </si>
  <si>
    <t>Noticeable gap in tactile density and refinement</t>
  </si>
  <si>
    <t>BYD = VF6NP</t>
  </si>
  <si>
    <t>Acceptable but no differentiation</t>
  </si>
  <si>
    <t>Strong improvement in brand consistency</t>
  </si>
  <si>
    <t>Average</t>
  </si>
  <si>
    <t>Overall competitive position achieved</t>
  </si>
  <si>
    <t>Clear improvement in usability and functional execution</t>
  </si>
  <si>
    <t>Strong design refinement</t>
  </si>
  <si>
    <t>Meet CN OEM level of gap &amp; flush target</t>
  </si>
  <si>
    <t>Tactile quality still weaker vs benchmark ( Door closing)</t>
  </si>
  <si>
    <t>Acoustic feedback not yet competitive (Door closing)</t>
  </si>
  <si>
    <t>Improved design consistency and brand alignment</t>
  </si>
  <si>
    <t>Significant usability and packaging improvement</t>
  </si>
  <si>
    <t>Strong premium perception through design execution</t>
  </si>
  <si>
    <t>Best-in-class execution, major improvement vs VF6</t>
  </si>
  <si>
    <t>Still lacking density and tactile refinement</t>
  </si>
  <si>
    <t>Slight VF6NP Leading</t>
  </si>
  <si>
    <t>Minor improvement, but not a differentiator</t>
  </si>
  <si>
    <t>Strong brand consistency and design coherence</t>
  </si>
  <si>
    <t>Clear competitive advantage achieved</t>
  </si>
  <si>
    <t>Modules</t>
  </si>
  <si>
    <t>Surface quality and overall execution still weaker</t>
  </si>
  <si>
    <t>Slight BYD Leading</t>
  </si>
  <si>
    <t>Improved but still lacking closing feel and precision</t>
  </si>
  <si>
    <t>Strong visual quality and perceived innovation</t>
  </si>
  <si>
    <t>No differentiation, baseline level</t>
  </si>
  <si>
    <t>Improved material and visual execution</t>
  </si>
  <si>
    <t>Better design and visual impact</t>
  </si>
  <si>
    <t>Best-in-class execution and premium perception</t>
  </si>
  <si>
    <t>Good improvement in tactile and design quality</t>
  </si>
  <si>
    <t>Major improvement in usability and perceived quality</t>
  </si>
  <si>
    <t>Strong material and design execution</t>
  </si>
  <si>
    <t>Comfort and perceived quality improved</t>
  </si>
  <si>
    <t>Improved usability and integration</t>
  </si>
  <si>
    <t>Screen size and resolution imrprovement required</t>
  </si>
  <si>
    <t>Ambient quality and refinement required</t>
  </si>
  <si>
    <t>Improved usability and perceived convenience</t>
  </si>
  <si>
    <r>
      <rPr>
        <b/>
        <sz val="20"/>
        <color theme="1"/>
        <rFont val="Segoe UI Emoji"/>
        <family val="2"/>
      </rPr>
      <t xml:space="preserve">🔳 </t>
    </r>
    <r>
      <rPr>
        <b/>
        <sz val="24"/>
        <color theme="1"/>
        <rFont val="Calibri"/>
        <family val="2"/>
        <scheme val="minor"/>
      </rPr>
      <t>Must Fix / Want Fix Key Criteria</t>
    </r>
  </si>
  <si>
    <t>No</t>
  </si>
  <si>
    <t>Category</t>
  </si>
  <si>
    <t xml:space="preserve">Want Fix </t>
  </si>
  <si>
    <t>Customer Perception</t>
  </si>
  <si>
    <r>
      <rPr>
        <sz val="11"/>
        <color rgb="FF000000"/>
        <rFont val="Calibri"/>
        <family val="2"/>
        <scheme val="minor"/>
      </rPr>
      <t xml:space="preserve">Clearly visible, audible, or tactile defect recognized by </t>
    </r>
    <r>
      <rPr>
        <b/>
        <i/>
        <sz val="11"/>
        <color rgb="FF000000"/>
        <rFont val="Calibri"/>
        <family val="2"/>
        <scheme val="minor"/>
      </rPr>
      <t>most</t>
    </r>
    <r>
      <rPr>
        <sz val="11"/>
        <color rgb="FF000000"/>
        <rFont val="Calibri"/>
        <family val="2"/>
        <scheme val="minor"/>
      </rPr>
      <t xml:space="preserve"> customers at first interaction</t>
    </r>
  </si>
  <si>
    <t>Not noticeable under normal usage or only detectable under special condition</t>
  </si>
  <si>
    <t>Aesthetics / Sound / Touch &amp; Feel</t>
  </si>
  <si>
    <t>A&amp;U (Usage &amp; Ergonomics)</t>
  </si>
  <si>
    <t>Requires body lean, awkward posture, excessive reach, or repeated inconvenience in daily use</t>
  </si>
  <si>
    <t>Usable within normal posture with minor or occasional inconvenience</t>
  </si>
  <si>
    <t>Functionality / Harmony &amp; Authenticity</t>
  </si>
  <si>
    <t>GD&amp;T / Quality Level</t>
  </si>
  <si>
    <t>Out of DTS tolerance OR visible gap/flush inconsistency OR multiple occurrences (systematic issue)</t>
  </si>
  <si>
    <t>Within DTS tolerance AND isolated issue with no visible inconsistency</t>
  </si>
  <si>
    <t>Brand &amp; Design Integrity</t>
  </si>
  <si>
    <t>Breaks design intent (cutline, symmetry, alignment) OR visible in key (Zone A) areas OR creates cheap/inconsistent perception</t>
  </si>
  <si>
    <t>Low visibility area AND no impact on overall design harmony</t>
  </si>
  <si>
    <t>Aesthetics / Harmony &amp; Authenticity</t>
  </si>
  <si>
    <t>System Impact</t>
  </si>
  <si>
    <t>Causes secondary issues (Squeak &amp; rattle) OR linked to known field/warranty issue</t>
  </si>
  <si>
    <t>No cross-system impact AND no history of field issue</t>
  </si>
  <si>
    <t>Functionality / Sound Quality</t>
  </si>
  <si>
    <r>
      <rPr>
        <b/>
        <sz val="20"/>
        <color theme="1"/>
        <rFont val="Segoe UI Emoji"/>
        <family val="2"/>
      </rPr>
      <t>🔳</t>
    </r>
    <r>
      <rPr>
        <b/>
        <i/>
        <sz val="20"/>
        <color theme="1"/>
        <rFont val="Segoe UI Emoji"/>
        <family val="2"/>
      </rPr>
      <t xml:space="preserve"> </t>
    </r>
    <r>
      <rPr>
        <b/>
        <i/>
        <sz val="24"/>
        <color theme="1"/>
        <rFont val="Calibri"/>
        <family val="2"/>
        <scheme val="minor"/>
      </rPr>
      <t>Operational Rules</t>
    </r>
  </si>
  <si>
    <t>Rule</t>
  </si>
  <si>
    <t>Description</t>
  </si>
  <si>
    <t>Classification Discipline</t>
  </si>
  <si>
    <t>All issues must follow Must Fix / Want Fix definition</t>
  </si>
  <si>
    <t>Must Fix Timing</t>
  </si>
  <si>
    <t>Must Fix issues must be resolved before PTO Gate (PR release)</t>
  </si>
  <si>
    <t>Exception Handling</t>
  </si>
  <si>
    <t>If not resolved, approved ICA/PCA with clear plan is required</t>
  </si>
  <si>
    <t>Gate Opening Condition</t>
  </si>
  <si>
    <t>Gate can open only if no open Must Fix OR ICA/PCA is approved</t>
  </si>
  <si>
    <t>Implementation Commitment</t>
  </si>
  <si>
    <t>All Must Fix issues must be implemented and verified by PTO</t>
  </si>
  <si>
    <t>Want Fix Control</t>
  </si>
  <si>
    <t>Only acceptable if below perception threshold and no impact on safety/function/brand</t>
  </si>
  <si>
    <t xml:space="preserve">Escalation Rule </t>
  </si>
  <si>
    <t>If a Must Fix issue is not aligned for resolution across teams, it must be escalated to DCEO level for final decision</t>
  </si>
  <si>
    <t>1. RPN</t>
  </si>
  <si>
    <t>Criteria:
Severity of Effect on Product
(Customer Effect)</t>
  </si>
  <si>
    <t>Rank</t>
  </si>
  <si>
    <t>Likelihood of Failure</t>
  </si>
  <si>
    <t>Criteria: Occurrence of Cause - DFMEA
(Design life/reliability of item/vehicle)</t>
  </si>
  <si>
    <t>Criteria: Occurrence of Cause - DFMEA
(Incidents per items/vehicles)</t>
  </si>
  <si>
    <t>Opportunity for Detection</t>
  </si>
  <si>
    <t>Criteria: 
Likelihood of Detection by Design Control</t>
  </si>
  <si>
    <t>Likelihood of Detection</t>
  </si>
  <si>
    <t>Potential failure mode affects safe vehicle operation and/or involves noncompliance with government regulation without warning</t>
  </si>
  <si>
    <t>&lt;CC&gt;</t>
  </si>
  <si>
    <t>Very High</t>
  </si>
  <si>
    <t>New technology/new design with no history.</t>
  </si>
  <si>
    <r>
      <rPr>
        <sz val="10"/>
        <color rgb="FF000000"/>
        <rFont val="Aptos Narrow"/>
        <family val="2"/>
      </rPr>
      <t>≥</t>
    </r>
    <r>
      <rPr>
        <sz val="10"/>
        <color rgb="FF000000"/>
        <rFont val="Arial"/>
        <family val="2"/>
      </rPr>
      <t xml:space="preserve"> 100 per thousand
</t>
    </r>
    <r>
      <rPr>
        <sz val="10"/>
        <color rgb="FF000000"/>
        <rFont val="Aptos Narrow"/>
        <family val="2"/>
      </rPr>
      <t>≥</t>
    </r>
    <r>
      <rPr>
        <sz val="10"/>
        <color rgb="FF000000"/>
        <rFont val="Arial"/>
        <family val="2"/>
      </rPr>
      <t xml:space="preserve"> 1 in 10</t>
    </r>
  </si>
  <si>
    <t>No detection opportunity</t>
  </si>
  <si>
    <t>No current design control; Cannot detect or is not analyzed.</t>
  </si>
  <si>
    <t>Almost Impossible</t>
  </si>
  <si>
    <t>Potential failure mode affects safe vehicle operation and/or involves noncompliance with government regulation with warning</t>
  </si>
  <si>
    <t>High</t>
  </si>
  <si>
    <t>Failure is inevitable with new design, new application, or change in duty cycle/operating conditions.</t>
  </si>
  <si>
    <r>
      <rPr>
        <sz val="10"/>
        <color rgb="FF000000"/>
        <rFont val="Aptos Narrow"/>
        <family val="2"/>
      </rPr>
      <t>5</t>
    </r>
    <r>
      <rPr>
        <sz val="10"/>
        <color rgb="FF000000"/>
        <rFont val="Arial"/>
        <family val="2"/>
      </rPr>
      <t>0 per thousand
1 in 20</t>
    </r>
  </si>
  <si>
    <t>Not likely to detect at any stage</t>
  </si>
  <si>
    <r>
      <rPr>
        <sz val="10"/>
        <color rgb="FF000000"/>
        <rFont val="Arial"/>
        <family val="2"/>
      </rPr>
      <t xml:space="preserve">Design analysis/detection controls have a weak detection capability; Virtual Analysis (e.g., CAE, FEA, etc.) is </t>
    </r>
    <r>
      <rPr>
        <b/>
        <u/>
        <sz val="10"/>
        <color rgb="FF000000"/>
        <rFont val="Arial"/>
        <family val="2"/>
      </rPr>
      <t xml:space="preserve">not correlated </t>
    </r>
    <r>
      <rPr>
        <sz val="10"/>
        <color rgb="FF000000"/>
        <rFont val="Arial"/>
        <family val="2"/>
      </rPr>
      <t>to expected actual operating conditions.</t>
    </r>
  </si>
  <si>
    <t>Very Remote</t>
  </si>
  <si>
    <t>Loss of primary function (vehicle inoperable, does not affect safe vehicle operation).</t>
  </si>
  <si>
    <t>&lt;SC&gt;</t>
  </si>
  <si>
    <t>Failure is likely with new design, new application, or change in duty cycle/operating conditions.</t>
  </si>
  <si>
    <r>
      <rPr>
        <sz val="10"/>
        <color rgb="FF000000"/>
        <rFont val="Aptos Narrow"/>
        <family val="2"/>
      </rPr>
      <t>2</t>
    </r>
    <r>
      <rPr>
        <sz val="10"/>
        <color rgb="FF000000"/>
        <rFont val="Arial"/>
        <family val="2"/>
      </rPr>
      <t>0 per thousand
1 in 50</t>
    </r>
  </si>
  <si>
    <t>Post Design Freeze and prior to launch</t>
  </si>
  <si>
    <r>
      <rPr>
        <sz val="10"/>
        <color rgb="FF000000"/>
        <rFont val="Arial"/>
        <family val="2"/>
      </rPr>
      <t xml:space="preserve">Product verification/validation after design freeze and prior to launch with </t>
    </r>
    <r>
      <rPr>
        <b/>
        <u/>
        <sz val="10"/>
        <color rgb="FF000000"/>
        <rFont val="Arial"/>
        <family val="2"/>
      </rPr>
      <t>pass/fail</t>
    </r>
    <r>
      <rPr>
        <sz val="10"/>
        <color rgb="FF000000"/>
        <rFont val="Arial"/>
        <family val="2"/>
      </rPr>
      <t xml:space="preserve"> testing (Subsystem or system testing with acceptance criteria such as ride and handling, shipping evaluation, etc.)</t>
    </r>
  </si>
  <si>
    <t>Remote</t>
  </si>
  <si>
    <t>Degradation of primary function (vehicle operable, but at reduced level of performance)</t>
  </si>
  <si>
    <t>Failure is uncertain with new design, new application, or change in duty cycle/operating conditions.</t>
  </si>
  <si>
    <r>
      <rPr>
        <sz val="10"/>
        <color rgb="FF000000"/>
        <rFont val="Aptos Narrow"/>
        <family val="2"/>
      </rPr>
      <t>1</t>
    </r>
    <r>
      <rPr>
        <sz val="10"/>
        <color rgb="FF000000"/>
        <rFont val="Arial"/>
        <family val="2"/>
      </rPr>
      <t>0 per thousand
1 in 100</t>
    </r>
  </si>
  <si>
    <r>
      <rPr>
        <sz val="10"/>
        <color rgb="FF000000"/>
        <rFont val="Arial"/>
        <family val="2"/>
      </rPr>
      <t xml:space="preserve">Product verification/validation after design freeze and prior to launch with </t>
    </r>
    <r>
      <rPr>
        <b/>
        <u/>
        <sz val="10"/>
        <color rgb="FF000000"/>
        <rFont val="Arial"/>
        <family val="2"/>
      </rPr>
      <t>test to failure</t>
    </r>
    <r>
      <rPr>
        <sz val="10"/>
        <color rgb="FF000000"/>
        <rFont val="Arial"/>
        <family val="2"/>
      </rPr>
      <t xml:space="preserve"> testing (Subsystem or system testing until failure occurs, testing of system interactions, etc.)</t>
    </r>
  </si>
  <si>
    <t>Very Low</t>
  </si>
  <si>
    <t>Loss or Degradation of Secondaty Function</t>
  </si>
  <si>
    <t>Loss of secondary function (vehicle operable, but comfort / convenience functions inoperable).</t>
  </si>
  <si>
    <t>&lt;HIC&gt;</t>
  </si>
  <si>
    <t>Moderate</t>
  </si>
  <si>
    <t>Frequent failures associated with similar designs or in design simulation and testing.</t>
  </si>
  <si>
    <r>
      <rPr>
        <sz val="10"/>
        <color rgb="FF000000"/>
        <rFont val="Aptos Narrow"/>
        <family val="2"/>
      </rPr>
      <t>2</t>
    </r>
    <r>
      <rPr>
        <sz val="10"/>
        <color rgb="FF000000"/>
        <rFont val="Arial"/>
        <family val="2"/>
      </rPr>
      <t xml:space="preserve"> per thousand
1 in 500</t>
    </r>
  </si>
  <si>
    <r>
      <rPr>
        <sz val="10"/>
        <color rgb="FF000000"/>
        <rFont val="Arial"/>
        <family val="2"/>
      </rPr>
      <t xml:space="preserve">Product verification/validation after design freeze and prior to launch with </t>
    </r>
    <r>
      <rPr>
        <b/>
        <u/>
        <sz val="10"/>
        <color rgb="FF000000"/>
        <rFont val="Arial"/>
        <family val="2"/>
      </rPr>
      <t>degradation</t>
    </r>
    <r>
      <rPr>
        <sz val="10"/>
        <color rgb="FF000000"/>
        <rFont val="Arial"/>
        <family val="2"/>
      </rPr>
      <t xml:space="preserve"> testing (Subsystem or system testing after durability test, e.g., function check).</t>
    </r>
  </si>
  <si>
    <t>Low</t>
  </si>
  <si>
    <t>Degradation of secondary function (vehicle operable, but comfort / convenience functions at reduced level of performance).</t>
  </si>
  <si>
    <t>Occasional failures associated with similar designs or in design simulation and testing.</t>
  </si>
  <si>
    <r>
      <rPr>
        <sz val="10"/>
        <color rgb="FF000000"/>
        <rFont val="Aptos Narrow"/>
        <family val="2"/>
      </rPr>
      <t>.5</t>
    </r>
    <r>
      <rPr>
        <sz val="10"/>
        <color rgb="FF000000"/>
        <rFont val="Arial"/>
        <family val="2"/>
      </rPr>
      <t xml:space="preserve"> per thousand
1 in 2,000</t>
    </r>
  </si>
  <si>
    <t>Prior to Design Freeze</t>
  </si>
  <si>
    <r>
      <rPr>
        <sz val="10"/>
        <color rgb="FF000000"/>
        <rFont val="Arial"/>
        <family val="2"/>
      </rPr>
      <t xml:space="preserve">Product validation (reliability testing, development or validation tests) prior to design freeze using </t>
    </r>
    <r>
      <rPr>
        <b/>
        <u/>
        <sz val="10"/>
        <color rgb="FF000000"/>
        <rFont val="Arial"/>
        <family val="2"/>
      </rPr>
      <t>pass/fail</t>
    </r>
    <r>
      <rPr>
        <sz val="10"/>
        <color rgb="FF000000"/>
        <rFont val="Arial"/>
        <family val="2"/>
      </rPr>
      <t xml:space="preserve"> testing (e.g., acceptance criteria for performance, functions checks, etc.).</t>
    </r>
  </si>
  <si>
    <t>Annoyance</t>
  </si>
  <si>
    <t>Appearance or Audible Noise, vehicle operable, item does not conform and noticed by most customers (&gt; 75%).</t>
  </si>
  <si>
    <t>&lt;STD&gt;</t>
  </si>
  <si>
    <t>Isolated failures associated with similar designs or in design simulation and testing.</t>
  </si>
  <si>
    <r>
      <rPr>
        <sz val="10"/>
        <color rgb="FF000000"/>
        <rFont val="Aptos Narrow"/>
        <family val="2"/>
      </rPr>
      <t>.1</t>
    </r>
    <r>
      <rPr>
        <sz val="10"/>
        <color rgb="FF000000"/>
        <rFont val="Arial"/>
        <family val="2"/>
      </rPr>
      <t xml:space="preserve"> per thousand
1 in 10,000</t>
    </r>
  </si>
  <si>
    <r>
      <rPr>
        <sz val="10"/>
        <color rgb="FF000000"/>
        <rFont val="Arial"/>
        <family val="2"/>
      </rPr>
      <t xml:space="preserve">Product validation (reliability testing, development or validation tests) prior to design freeze using </t>
    </r>
    <r>
      <rPr>
        <b/>
        <u/>
        <sz val="10"/>
        <color rgb="FF000000"/>
        <rFont val="Arial"/>
        <family val="2"/>
      </rPr>
      <t>test to failure</t>
    </r>
    <r>
      <rPr>
        <sz val="10"/>
        <color rgb="FF000000"/>
        <rFont val="Arial"/>
        <family val="2"/>
      </rPr>
      <t xml:space="preserve"> (e.g., until leaks, yields, cracks, etc.).</t>
    </r>
  </si>
  <si>
    <t>Moderately High</t>
  </si>
  <si>
    <t>Appearance or Audible Noise, vehicle operable, item does not conform and noticed by many customers (&gt; 50%).</t>
  </si>
  <si>
    <t>Only isolated failures associated with almost identical design or in design simulation and testing</t>
  </si>
  <si>
    <r>
      <rPr>
        <sz val="10"/>
        <color rgb="FF000000"/>
        <rFont val="Aptos Narrow"/>
        <family val="2"/>
      </rPr>
      <t>.01</t>
    </r>
    <r>
      <rPr>
        <sz val="10"/>
        <color rgb="FF000000"/>
        <rFont val="Arial"/>
        <family val="2"/>
      </rPr>
      <t xml:space="preserve"> per thousand
1 in 100,000</t>
    </r>
  </si>
  <si>
    <r>
      <rPr>
        <sz val="10"/>
        <color rgb="FF000000"/>
        <rFont val="Arial"/>
        <family val="2"/>
      </rPr>
      <t xml:space="preserve">Product validation (reliability testing, development or validation tests) prior to design freeze using </t>
    </r>
    <r>
      <rPr>
        <b/>
        <u/>
        <sz val="10"/>
        <color rgb="FF000000"/>
        <rFont val="Arial"/>
        <family val="2"/>
      </rPr>
      <t>degradation</t>
    </r>
    <r>
      <rPr>
        <sz val="10"/>
        <color rgb="FF000000"/>
        <rFont val="Arial"/>
        <family val="2"/>
      </rPr>
      <t xml:space="preserve"> testing (e.g., data trends, before/after values, etc.).</t>
    </r>
  </si>
  <si>
    <t>Appearance or Audible Noise, vehicle operable, item does not conform and noticed by discriminating customers (&gt; 25%).</t>
  </si>
  <si>
    <t>No observed failures associated with almost identical design or in design simulation and testing</t>
  </si>
  <si>
    <r>
      <rPr>
        <sz val="10"/>
        <color rgb="FF000000"/>
        <rFont val="Aptos Narrow"/>
        <family val="2"/>
      </rPr>
      <t>≤.001</t>
    </r>
    <r>
      <rPr>
        <sz val="10"/>
        <color rgb="FF000000"/>
        <rFont val="Arial"/>
        <family val="2"/>
      </rPr>
      <t xml:space="preserve"> per thousand
1 in 1,000,000</t>
    </r>
  </si>
  <si>
    <t>Virtual Analysis - Correlated</t>
  </si>
  <si>
    <r>
      <rPr>
        <sz val="10"/>
        <color rgb="FF000000"/>
        <rFont val="Arial"/>
        <family val="2"/>
      </rPr>
      <t xml:space="preserve">Design analysis/detection controls have a strong detection capability; Virtual Analysis (e.g., CAE, FEA, etc.) </t>
    </r>
    <r>
      <rPr>
        <b/>
        <u/>
        <sz val="10"/>
        <color rgb="FF000000"/>
        <rFont val="Arial"/>
        <family val="2"/>
      </rPr>
      <t>is highly correlated</t>
    </r>
    <r>
      <rPr>
        <sz val="10"/>
        <color rgb="FF000000"/>
        <rFont val="Arial"/>
        <family val="2"/>
      </rPr>
      <t xml:space="preserve"> with actual or expected operating conditions perior to design freeze.</t>
    </r>
  </si>
  <si>
    <t>Failure is eliminated though preventive control.</t>
  </si>
  <si>
    <t>Failure is eliminated through preventive control</t>
  </si>
  <si>
    <t>Detection not applicable; Failure Prevention</t>
  </si>
  <si>
    <t>Failure cause or failure mode can not occur because it is fully prevented through design solutions (e.g., proven design standard, best prectice or common material, etc.).</t>
  </si>
  <si>
    <t>Almost Certain</t>
  </si>
  <si>
    <t>*Severity, Occurrence and Detection tables from AIAG FMEA 4th edition 2008 version</t>
  </si>
  <si>
    <t>2. Key product characteristics - follow VFDST00010100_Special Characteristics Class Designation</t>
  </si>
  <si>
    <t>Classification
Symbols</t>
  </si>
  <si>
    <t>Severity</t>
  </si>
  <si>
    <t>Abbreviation</t>
  </si>
  <si>
    <t>Details</t>
  </si>
  <si>
    <t>10, 9</t>
  </si>
  <si>
    <t>Critical Characteristics</t>
  </si>
  <si>
    <t>Function related to Safety &amp; Homologation &amp; Regulation</t>
  </si>
  <si>
    <t>8, 7</t>
  </si>
  <si>
    <t>Significant Characteristics</t>
  </si>
  <si>
    <t>Directly related to the Reliability or external Customer satisfaction and Product Performance or Product primary functions.
Product characteristics which affect the fitting, the function, the performance of the further processing of the product (Buildability).</t>
  </si>
  <si>
    <t>6, 5</t>
  </si>
  <si>
    <t>High Importance Characteristics</t>
  </si>
  <si>
    <t>Product secondary functions and Process or improper Manufacturing/Assembly</t>
  </si>
  <si>
    <t>4, 3, 2, 1</t>
  </si>
  <si>
    <t>Standard Characteristics</t>
  </si>
  <si>
    <t>All others Standard characteristics</t>
  </si>
  <si>
    <t>TA PHC Gateway open contents</t>
  </si>
  <si>
    <t>Criteria</t>
  </si>
  <si>
    <t>Status</t>
  </si>
  <si>
    <t>Conclusion</t>
  </si>
  <si>
    <t>Explanation</t>
  </si>
  <si>
    <t>Target Definition (VTS)</t>
  </si>
  <si>
    <t>Aligned</t>
  </si>
  <si>
    <t>Pass</t>
  </si>
  <si>
    <t>B-Class CAS PQ audit confirms that program target direction is aligned with PALS &amp; VTS targets at Competitive level.</t>
  </si>
  <si>
    <t>Benchmark Reference</t>
  </si>
  <si>
    <t>VTS targets are benchmark-driven.</t>
  </si>
  <si>
    <t>Lessons Learned Integration</t>
  </si>
  <si>
    <t>Applied</t>
  </si>
  <si>
    <t>Lessons learned have been fully integrated into engineering direction.</t>
  </si>
  <si>
    <t>Design Convergence (B-Class)</t>
  </si>
  <si>
    <t>Controlled</t>
  </si>
  <si>
    <t>Design convergence is under control and progressing toward defined PQ targets.</t>
  </si>
  <si>
    <t>Initial DTS Target Set</t>
  </si>
  <si>
    <t>Initial DTS targets are defined and aligned with PQ requirements.</t>
  </si>
  <si>
    <t>Attatchments</t>
  </si>
  <si>
    <t>Lessons &amp; leant implement report</t>
  </si>
  <si>
    <t>Benchmakring report with PALS/VTS target set</t>
  </si>
  <si>
    <t>Desing convergence B Class PQ status</t>
  </si>
  <si>
    <t>FC PHC Gateway open contents</t>
  </si>
  <si>
    <t>Must-Fix Issues</t>
  </si>
  <si>
    <t>None</t>
  </si>
  <si>
    <t>No Must-Fix issues remaining.</t>
  </si>
  <si>
    <t>Customer-visible critical issues</t>
  </si>
  <si>
    <t>No critical issues impacting customer perception have been identified.</t>
  </si>
  <si>
    <t>PQ Target (PALS / VTS)</t>
  </si>
  <si>
    <t>Achieved</t>
  </si>
  <si>
    <t>A-Class CAS PQ audit confirms that VF5NP meets PALS &amp; VTS targets at Competitive level.</t>
  </si>
  <si>
    <t>Open Issues Risk</t>
  </si>
  <si>
    <t>All remaining issues are non-blocking and under control.</t>
  </si>
  <si>
    <t>Final DTS Target Release</t>
  </si>
  <si>
    <t>Final DTS targets are released and validated.</t>
  </si>
  <si>
    <t>FC gate PQ report</t>
  </si>
  <si>
    <t>Desing convergence A Class PQ status</t>
  </si>
  <si>
    <t>PTO PHC Gateway open contents</t>
  </si>
  <si>
    <t>No Must-Fix issues remaining prior to launch.</t>
  </si>
  <si>
    <t>No customer-visible critical issues have been identified.</t>
  </si>
  <si>
    <t>LS PQ audit confirms that VF5NP meets PALS &amp; VTS targets at Competitive level under near-production conditions.</t>
  </si>
  <si>
    <t>All remaining issues are minor, non-blocking, and under control.</t>
  </si>
  <si>
    <t>PTO gate PQ report</t>
  </si>
  <si>
    <t>PTO Audit report with status</t>
  </si>
  <si>
    <t>SOP PHC Gateway open contents</t>
  </si>
  <si>
    <t>LS PQ audit confirms that VF5NP meets PALS &amp; VTS targets at Competitive level in final production quality.</t>
  </si>
  <si>
    <t>Product quality is stable and ready for customer delivery.</t>
  </si>
  <si>
    <t>SOP gate PQ report</t>
  </si>
  <si>
    <t>LS Audit report with status</t>
  </si>
  <si>
    <t>PTO / LS / SOP Vehicle Audit RASIC</t>
  </si>
  <si>
    <t>(ICA/PCA Tracking Ownership Update)**</t>
  </si>
  <si>
    <t>Activity</t>
  </si>
  <si>
    <t>Detailed Activity Description</t>
  </si>
  <si>
    <t>PQ / GD&amp;T / A&amp;U</t>
  </si>
  <si>
    <t>QE / VCA</t>
  </si>
  <si>
    <t>PMO / MML</t>
  </si>
  <si>
    <t>ADV</t>
  </si>
  <si>
    <t>Remarks</t>
  </si>
  <si>
    <t>VCA Vehicle Selection</t>
  </si>
  <si>
    <t>Selection of audit target vehicle variant/spec and confirmation of production sequence</t>
  </si>
  <si>
    <t>I</t>
  </si>
  <si>
    <t>R / A</t>
  </si>
  <si>
    <t>S</t>
  </si>
  <si>
    <t>Ensure specific configurations are included in audit scope</t>
  </si>
  <si>
    <t>DCR / ECR Tracking</t>
  </si>
  <si>
    <t>Management of design (DCR) and engineering/process (ECR) change history</t>
  </si>
  <si>
    <t>Acts as central hub for all change history</t>
  </si>
  <si>
    <t>ICA / PCA Tracking</t>
  </si>
  <si>
    <t>Tracking status of Interim (ICA) and Permanent (PCA) corrective actions</t>
  </si>
  <si>
    <t>PMO leads conversion from ICA to PCA before SOP</t>
  </si>
  <si>
    <t>Vehicle Mapping</t>
  </si>
  <si>
    <t>Mapping of changes/actions to actual production vehicles (VIN level)</t>
  </si>
  <si>
    <t>Identification and mapping of “event vehicles” for audit</t>
  </si>
  <si>
    <t>Change Notification</t>
  </si>
  <si>
    <t>Communication of change and action information to VCA and PQ teams</t>
  </si>
  <si>
    <t>Official notification for audit preparation</t>
  </si>
  <si>
    <t>Change Reflection Check</t>
  </si>
  <si>
    <t>Verification of ICA/PCA implementation on actual vehicles</t>
  </si>
  <si>
    <t>PQ verifies physical implementation on vehicle</t>
  </si>
  <si>
    <t>Joint Audit</t>
  </si>
  <si>
    <t>Vehicle evaluation based on checklist</t>
  </si>
  <si>
    <t>R</t>
  </si>
  <si>
    <t>PQ (technical &amp; precision), VCA (final approval)</t>
  </si>
  <si>
    <t>Audit Report</t>
  </si>
  <si>
    <t>Summary of audit results and quality rating definition</t>
  </si>
  <si>
    <t>Alignment and finalization of evaluation results</t>
  </si>
  <si>
    <t>JIRA Creation</t>
  </si>
  <si>
    <t>Registration of detected issues and assignment of ownership</t>
  </si>
  <si>
    <t>Technical issue logging and data management</t>
  </si>
  <si>
    <t>Execution / Fix</t>
  </si>
  <si>
    <t>Root cause analysis and physical implementation of corrective actions</t>
  </si>
  <si>
    <t>PQ directly drives and manages corrective actions</t>
  </si>
  <si>
    <t>Weekly Tracking</t>
  </si>
  <si>
    <t>Monitoring of open issues and residual ICA risks</t>
  </si>
  <si>
    <t>PMO controls overall progress and status</t>
  </si>
  <si>
    <t>Closure Validation</t>
  </si>
  <si>
    <t>Re-verification of improvements and final closure of JIRA issues</t>
  </si>
  <si>
    <t>Issue closure after VCA final approval</t>
  </si>
  <si>
    <t>Final PTO/LS/SOP Vehicle Audit RASIC (Gate-Aligned &amp; Optimized Version)</t>
  </si>
  <si>
    <t>GATE Phase</t>
  </si>
  <si>
    <t xml:space="preserve">PQ </t>
  </si>
  <si>
    <t>QE / QC</t>
  </si>
  <si>
    <t>VCA</t>
  </si>
  <si>
    <t>PMO</t>
  </si>
  <si>
    <t>MML / ADV</t>
  </si>
  <si>
    <t>Gate Preparation</t>
  </si>
  <si>
    <t>Selection of audit target vehicle type/spec and confirmation of production sequence</t>
  </si>
  <si>
    <t>Prioritize high-risk specs based on PTO issue history</t>
  </si>
  <si>
    <t>Management of design (DCR) and process (ECR) change history</t>
  </si>
  <si>
    <t>Central hub for all change history</t>
  </si>
  <si>
    <t>Tracking status of interim (ICA) and permanent (PCA) actions</t>
  </si>
  <si>
    <t>Manage PCA conversion before SOP</t>
  </si>
  <si>
    <t>QE/QC confirms and judges DCR/ECR vehicle application status</t>
  </si>
  <si>
    <t>Notification of changes and actions to VCA / PQ / QE departments</t>
  </si>
  <si>
    <t>Formal audit trigger</t>
  </si>
  <si>
    <t>Gate Execution</t>
  </si>
  <si>
    <t>Joint Audit (1st)</t>
  </si>
  <si>
    <t>Initial vehicle evaluation based on checklist</t>
  </si>
  <si>
    <t>PQ leads technical judgment, QE validates actual build &amp; PTO issues</t>
  </si>
  <si>
    <t>Fix Implementation Coordination</t>
  </si>
  <si>
    <t>Coordination of ICA/PCA/DCR/ECR physical application to vehicle</t>
  </si>
  <si>
    <t>Execution by Engineering / In-Plant</t>
  </si>
  <si>
    <t>Verification that all actions are physically reflected on target vehicle</t>
  </si>
  <si>
    <t>Mandatory gate before Re-Audit</t>
  </si>
  <si>
    <t>Re-Audit (2nd)</t>
  </si>
  <si>
    <t>Re-verification of updated vehicle after fix implementation</t>
  </si>
  <si>
    <t>VCA performs independent final confirmation</t>
  </si>
  <si>
    <t>Gate Decision</t>
  </si>
  <si>
    <t>Must Fix / Want Fix Decision</t>
  </si>
  <si>
    <t>Final classification of Must Fix / Want Fix and notification to MML</t>
  </si>
  <si>
    <r>
      <t xml:space="preserve">PQ + QE/QC recommendation, </t>
    </r>
    <r>
      <rPr>
        <b/>
        <sz val="11"/>
        <color theme="1"/>
        <rFont val="Calibri"/>
        <family val="2"/>
        <scheme val="minor"/>
      </rPr>
      <t>VCA makes final decision</t>
    </r>
  </si>
  <si>
    <t>Final audit summary, quality rating, and Must/Want Fix recording</t>
  </si>
  <si>
    <r>
      <t>QE/QC leads PTO issue analysis</t>
    </r>
    <r>
      <rPr>
        <sz val="11"/>
        <color theme="1"/>
        <rFont val="Calibri"/>
        <family val="2"/>
        <scheme val="minor"/>
      </rPr>
      <t xml:space="preserve">, </t>
    </r>
    <r>
      <rPr>
        <b/>
        <sz val="11"/>
        <color theme="1"/>
        <rFont val="Calibri"/>
        <family val="2"/>
        <scheme val="minor"/>
      </rPr>
      <t>VCA makes independent final quality judgment</t>
    </r>
  </si>
  <si>
    <t>Registration of detected issues and assignee assignment (with Must/Want Fix tag)</t>
  </si>
  <si>
    <t>QE/QC leads registration of actual vehicle issues</t>
  </si>
  <si>
    <t>Gate Follow-up</t>
  </si>
  <si>
    <t>Monitoring of open issues and residual risks</t>
  </si>
  <si>
    <t>PMO controls overall timeline and risk</t>
  </si>
  <si>
    <t>Final confirmation of improvements and JIRA issue closure</t>
  </si>
  <si>
    <t>VCA gives final quality approval for closure</t>
  </si>
  <si>
    <t>Vinfast</t>
  </si>
  <si>
    <t>Program</t>
  </si>
  <si>
    <t>MARKET</t>
  </si>
  <si>
    <t>Attribute Level 2</t>
  </si>
  <si>
    <t>VD DNA Target improvement</t>
  </si>
  <si>
    <t>Green</t>
  </si>
  <si>
    <t>MGreen</t>
  </si>
  <si>
    <t>VN</t>
  </si>
  <si>
    <t>1) Simplify cutline</t>
  </si>
  <si>
    <t>1) Competitive Fit &amp; Finish (stable, no defect perception)</t>
  </si>
  <si>
    <t>Herio Green</t>
  </si>
  <si>
    <t>All</t>
  </si>
  <si>
    <t>2) Reduce part counts</t>
  </si>
  <si>
    <t>2) Zero noise/loose perception (basic Sound Quality )</t>
  </si>
  <si>
    <t>Nerio</t>
  </si>
  <si>
    <t>3) Standardize interface &amp; tolerance</t>
  </si>
  <si>
    <t>3) Manufacturing stability (No variation-driven defects)</t>
  </si>
  <si>
    <t>Limogreen</t>
  </si>
  <si>
    <t>4) Improve robustness (variation insensitive design)</t>
  </si>
  <si>
    <t>4) Cost-efficient PQ  (Value perception )</t>
  </si>
  <si>
    <t>Low Category</t>
  </si>
  <si>
    <t>VF3</t>
  </si>
  <si>
    <t>1) Fit &amp; Finish stability (gap/flush consistency)</t>
  </si>
  <si>
    <t>1) Competitive Fit &amp; Finish (No customer complaint level)</t>
  </si>
  <si>
    <t>2) Door closing effort &amp; sound tuning</t>
  </si>
  <si>
    <t>2) Solid &amp; acceptable door closing sound (No tinny / no hollow)</t>
  </si>
  <si>
    <t>3) Basic tactile improvement (no cheap feel)</t>
  </si>
  <si>
    <t>3) Eliminate low-quality perception (entry but not cheap)</t>
  </si>
  <si>
    <t>VF5</t>
  </si>
  <si>
    <t>4) Reduce visible defects</t>
  </si>
  <si>
    <t>4) Meet Kano Must-be featurse</t>
  </si>
  <si>
    <t>Mid Category</t>
  </si>
  <si>
    <t>1) Fit &amp; Finish precision (tight &amp; consistent)</t>
  </si>
  <si>
    <t>1) Among Leader Fit &amp; Finish (CN/KR OEM level)</t>
  </si>
  <si>
    <t>2) Door closing effort &amp; sound refinement</t>
  </si>
  <si>
    <t>2) Premium-like door closing feel (damped, confident)</t>
  </si>
  <si>
    <t>VF7</t>
  </si>
  <si>
    <t>3) Touch &amp; Feel improvement (key contact area)</t>
  </si>
  <si>
    <t>3) Elevated tactile quality (soft, solid, controlled force)</t>
  </si>
  <si>
    <t>VF Limo</t>
  </si>
  <si>
    <t>4) Harmony improvement (design integration)</t>
  </si>
  <si>
    <t>4) Harmonized design perception (no mismatch)</t>
  </si>
  <si>
    <t>VF Wild</t>
  </si>
  <si>
    <t>VN/INDIA</t>
  </si>
  <si>
    <t>5) CMF consistency</t>
  </si>
  <si>
    <t>5) CMF → perceived upgrade</t>
  </si>
  <si>
    <t>High Category</t>
  </si>
  <si>
    <t>VF8</t>
  </si>
  <si>
    <t>1) Precision Fit &amp; Finish (premium tolerance control)</t>
  </si>
  <si>
    <t>1) Among Leader ~ Leader Fit &amp; Finish</t>
  </si>
  <si>
    <t>2) Door closing sound &amp; effort (luxury tuning)</t>
  </si>
  <si>
    <t>2) Premium door closure (deep, heavy, controlled sound)</t>
  </si>
  <si>
    <t>3) Advanced Touch &amp; Feel (material + damping)</t>
  </si>
  <si>
    <t>3) High-end tactile experience (soft, dense, premium)</t>
  </si>
  <si>
    <t>4) Harmony &amp; Authenticity improvment</t>
  </si>
  <si>
    <t>4) Strong brand identity coherence</t>
  </si>
  <si>
    <t>VF9</t>
  </si>
  <si>
    <t>5) Sound quality (operation refinement)</t>
  </si>
  <si>
    <t>5) No unwanted noise (refined NVH perception)</t>
  </si>
  <si>
    <t>MPV</t>
  </si>
  <si>
    <t>6) Feature-function integration (intuitive UX)</t>
  </si>
  <si>
    <t>6) Seamless functionality perception</t>
  </si>
  <si>
    <t>Lac Hong</t>
  </si>
  <si>
    <t>Luxury Category</t>
  </si>
  <si>
    <t>LH 800</t>
  </si>
  <si>
    <t>1) Among Leader  Fit &amp; Finish</t>
  </si>
  <si>
    <t>1) Leader in CMF (benchmark: LX/EQS)</t>
  </si>
  <si>
    <t>2) Ultra-premium tactile perception</t>
  </si>
  <si>
    <t>3) Invisible Fit &amp; Finish (perceived perfection)</t>
  </si>
  <si>
    <t>4) Signature sound identity (brand sound)</t>
  </si>
  <si>
    <t>5) Emotional luxury experience (Kansei alignment)</t>
  </si>
  <si>
    <t>LH900</t>
  </si>
  <si>
    <t>Commerical</t>
  </si>
  <si>
    <t>Cargo Van</t>
  </si>
  <si>
    <t>Minivan</t>
  </si>
  <si>
    <t>VN/INDO</t>
  </si>
  <si>
    <t>EBUS</t>
  </si>
  <si>
    <t>6M</t>
  </si>
  <si>
    <t>8M</t>
  </si>
  <si>
    <t>12M</t>
  </si>
  <si>
    <t>12M Coach Bus</t>
  </si>
  <si>
    <t>ALL</t>
  </si>
  <si>
    <t>Escooter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</si>
</sst>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5">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b/>
      <sz val="16"/>
      <color theme="1"/>
      <name val="Calibri"/>
      <family val="2"/>
      <scheme val="minor"/>
    </font>
    <font>
      <b/>
      <sz val="22"/>
      <color theme="1"/>
      <name val="Calibri"/>
      <family val="2"/>
      <scheme val="minor"/>
    </font>
    <font>
      <b/>
      <sz val="20"/>
      <color theme="1"/>
      <name val="Calibri"/>
      <family val="2"/>
      <scheme val="minor"/>
    </font>
    <font>
      <b/>
      <sz val="24"/>
      <color theme="1"/>
      <name val="Calibri"/>
      <family val="2"/>
      <scheme val="minor"/>
    </font>
    <font>
      <b/>
      <i/>
      <sz val="24"/>
      <color theme="1"/>
      <name val="Calibri"/>
      <family val="2"/>
      <scheme val="minor"/>
    </font>
    <font>
      <b/>
      <sz val="20"/>
      <color theme="1"/>
      <name val="Segoe UI Emoji"/>
      <family val="2"/>
    </font>
    <font>
      <b/>
      <i/>
      <sz val="20"/>
      <color theme="1"/>
      <name val="Calibri"/>
      <family val="2"/>
      <scheme val="minor"/>
    </font>
    <font>
      <b/>
      <i/>
      <sz val="20"/>
      <color theme="1"/>
      <name val="Segoe UI Emoji"/>
      <family val="2"/>
    </font>
    <font>
      <sz val="11"/>
      <color rgb="FF000000"/>
      <name val="Calibri"/>
      <family val="2"/>
      <scheme val="minor"/>
    </font>
    <font>
      <b/>
      <i/>
      <sz val="11"/>
      <color rgb="FF000000"/>
      <name val="Calibri"/>
      <family val="2"/>
      <scheme val="minor"/>
    </font>
    <font>
      <b/>
      <sz val="13.5"/>
      <color theme="1"/>
      <name val="Calibri"/>
      <family val="2"/>
      <scheme val="minor"/>
    </font>
    <font>
      <b/>
      <sz val="28"/>
      <color theme="1"/>
      <name val="Calibri"/>
      <family val="2"/>
      <scheme val="minor"/>
    </font>
    <font>
      <sz val="10"/>
      <name val="Arial"/>
      <family val="2"/>
    </font>
    <font>
      <b/>
      <sz val="10"/>
      <name val="Arial"/>
      <family val="2"/>
    </font>
    <font>
      <b/>
      <sz val="10"/>
      <color rgb="FF000000"/>
      <name val="Arial"/>
      <family val="2"/>
    </font>
    <font>
      <b/>
      <sz val="10"/>
      <color rgb="FFFF0000"/>
      <name val="Arial"/>
      <family val="2"/>
    </font>
    <font>
      <sz val="10"/>
      <color rgb="FF000000"/>
      <name val="Arial"/>
      <family val="2"/>
    </font>
    <font>
      <sz val="10"/>
      <color rgb="FF000000"/>
      <name val="Aptos Narrow"/>
      <family val="2"/>
    </font>
    <font>
      <b/>
      <u/>
      <sz val="10"/>
      <color rgb="FF000000"/>
      <name val="Arial"/>
      <family val="2"/>
    </font>
    <font>
      <sz val="10"/>
      <color rgb="FF00B050"/>
      <name val="Arial"/>
      <family val="2"/>
    </font>
    <font>
      <sz val="8"/>
      <name val="Calibri"/>
      <family val="2"/>
      <scheme val="minor"/>
    </font>
    <font>
      <b/>
      <sz val="11"/>
      <color rgb="FFFF0000"/>
      <name val="Calibri"/>
      <family val="2"/>
      <scheme val="minor"/>
    </font>
    <font>
      <b/>
      <sz val="11"/>
      <color rgb="FF000000"/>
      <name val="Arial"/>
      <family val="2"/>
    </font>
    <font>
      <b/>
      <sz val="12"/>
      <color rgb="FF000000"/>
      <name val="Arial"/>
      <family val="2"/>
    </font>
    <font>
      <b/>
      <sz val="14"/>
      <color rgb="FF000000"/>
      <name val="Arial"/>
      <family val="2"/>
    </font>
    <font>
      <sz val="12"/>
      <color theme="1"/>
      <name val="Aptos Display"/>
      <family val="2"/>
    </font>
    <font>
      <sz val="12"/>
      <color rgb="FF000000"/>
      <name val="Aptos Display"/>
      <family val="2"/>
    </font>
    <font>
      <sz val="12"/>
      <color theme="1"/>
      <name val="Calibri"/>
      <family val="2"/>
      <scheme val="minor"/>
    </font>
    <font>
      <b/>
      <sz val="14"/>
      <color rgb="FF000000"/>
      <name val="Segoe UI Emoji"/>
      <family val="2"/>
    </font>
    <font>
      <b/>
      <sz val="11.9"/>
      <color rgb="FF000000"/>
      <name val="Arial"/>
      <family val="2"/>
    </font>
    <font>
      <sz val="12"/>
      <color rgb="FF000000"/>
      <name val="Arial"/>
      <family val="2"/>
    </font>
  </fonts>
  <fills count="12">
    <fill>
      <patternFill patternType="none"/>
    </fill>
    <fill>
      <patternFill patternType="gray125"/>
    </fill>
    <fill>
      <patternFill patternType="solid">
        <fgColor theme="0" tint="-0.34998626667073579"/>
        <bgColor indexed="64"/>
      </patternFill>
    </fill>
    <fill>
      <patternFill patternType="solid">
        <fgColor theme="4" tint="0.7999816888943144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bgColor indexed="64"/>
      </patternFill>
    </fill>
    <fill>
      <patternFill patternType="solid">
        <fgColor theme="1"/>
        <bgColor indexed="64"/>
      </patternFill>
    </fill>
    <fill>
      <patternFill patternType="solid">
        <fgColor theme="0" tint="-0.249977111117893"/>
        <bgColor indexed="64"/>
      </patternFill>
    </fill>
    <fill>
      <patternFill patternType="solid">
        <fgColor theme="2"/>
        <bgColor indexed="64"/>
      </patternFill>
    </fill>
    <fill>
      <patternFill patternType="solid">
        <fgColor theme="9" tint="0.59999389629810485"/>
        <bgColor indexed="64"/>
      </patternFill>
    </fill>
    <fill>
      <patternFill patternType="solid">
        <fgColor theme="5" tint="0.59999389629810485"/>
        <bgColor indexed="64"/>
      </patternFill>
    </fill>
  </fills>
  <borders count="2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medium">
        <color indexed="64"/>
      </top>
      <bottom style="thin">
        <color auto="1"/>
      </bottom>
      <diagonal/>
    </border>
    <border>
      <left style="thin">
        <color auto="1"/>
      </left>
      <right style="thin">
        <color auto="1"/>
      </right>
      <top style="thin">
        <color auto="1"/>
      </top>
      <bottom style="medium">
        <color indexed="64"/>
      </bottom>
      <diagonal/>
    </border>
    <border>
      <left style="thin">
        <color auto="1"/>
      </left>
      <right style="thin">
        <color auto="1"/>
      </right>
      <top style="medium">
        <color indexed="64"/>
      </top>
      <bottom/>
      <diagonal/>
    </border>
    <border>
      <left style="thin">
        <color auto="1"/>
      </left>
      <right style="thin">
        <color auto="1"/>
      </right>
      <top/>
      <bottom style="medium">
        <color indexed="64"/>
      </bottom>
      <diagonal/>
    </border>
    <border>
      <left style="medium">
        <color indexed="64"/>
      </left>
      <right style="thin">
        <color auto="1"/>
      </right>
      <top style="medium">
        <color indexed="64"/>
      </top>
      <bottom/>
      <diagonal/>
    </border>
    <border>
      <left style="medium">
        <color indexed="64"/>
      </left>
      <right style="thin">
        <color auto="1"/>
      </right>
      <top/>
      <bottom/>
      <diagonal/>
    </border>
    <border>
      <left style="medium">
        <color indexed="64"/>
      </left>
      <right style="thin">
        <color auto="1"/>
      </right>
      <top/>
      <bottom style="medium">
        <color indexed="64"/>
      </bottom>
      <diagonal/>
    </border>
    <border>
      <left style="medium">
        <color rgb="FF000000"/>
      </left>
      <right style="thin">
        <color auto="1"/>
      </right>
      <top style="medium">
        <color rgb="FF000000"/>
      </top>
      <bottom style="thin">
        <color auto="1"/>
      </bottom>
      <diagonal/>
    </border>
    <border>
      <left/>
      <right style="thin">
        <color auto="1"/>
      </right>
      <top style="medium">
        <color rgb="FF000000"/>
      </top>
      <bottom style="thin">
        <color auto="1"/>
      </bottom>
      <diagonal/>
    </border>
    <border>
      <left style="thin">
        <color auto="1"/>
      </left>
      <right style="thin">
        <color auto="1"/>
      </right>
      <top style="medium">
        <color rgb="FF000000"/>
      </top>
      <bottom style="thin">
        <color auto="1"/>
      </bottom>
      <diagonal/>
    </border>
    <border>
      <left style="thin">
        <color auto="1"/>
      </left>
      <right style="medium">
        <color rgb="FF000000"/>
      </right>
      <top style="medium">
        <color rgb="FF000000"/>
      </top>
      <bottom style="thin">
        <color auto="1"/>
      </bottom>
      <diagonal/>
    </border>
    <border>
      <left style="medium">
        <color rgb="FF000000"/>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rgb="FF000000"/>
      </right>
      <top style="thin">
        <color auto="1"/>
      </top>
      <bottom style="thin">
        <color auto="1"/>
      </bottom>
      <diagonal/>
    </border>
    <border>
      <left style="medium">
        <color rgb="FF000000"/>
      </left>
      <right style="thin">
        <color auto="1"/>
      </right>
      <top style="thin">
        <color auto="1"/>
      </top>
      <bottom style="medium">
        <color rgb="FF000000"/>
      </bottom>
      <diagonal/>
    </border>
    <border>
      <left/>
      <right style="thin">
        <color auto="1"/>
      </right>
      <top style="thin">
        <color auto="1"/>
      </top>
      <bottom style="medium">
        <color rgb="FF000000"/>
      </bottom>
      <diagonal/>
    </border>
    <border>
      <left style="thin">
        <color auto="1"/>
      </left>
      <right style="thin">
        <color auto="1"/>
      </right>
      <top style="thin">
        <color auto="1"/>
      </top>
      <bottom style="medium">
        <color rgb="FF000000"/>
      </bottom>
      <diagonal/>
    </border>
    <border>
      <left style="thin">
        <color auto="1"/>
      </left>
      <right style="medium">
        <color rgb="FF000000"/>
      </right>
      <top style="thin">
        <color auto="1"/>
      </top>
      <bottom style="medium">
        <color rgb="FF000000"/>
      </bottom>
      <diagonal/>
    </border>
  </borders>
  <cellStyleXfs count="3">
    <xf numFmtId="0" fontId="0" fillId="0" borderId="0"/>
    <xf numFmtId="0" fontId="16" fillId="0" borderId="0"/>
    <xf numFmtId="0" fontId="16" fillId="0" borderId="0"/>
  </cellStyleXfs>
  <cellXfs count="208">
    <xf numFmtId="0" fontId="0" fillId="0" borderId="0" xfId="0"/>
    <xf numFmtId="0" fontId="0" fillId="0" borderId="0" xfId="0" applyAlignment="1">
      <alignment horizontal="center" vertical="center"/>
    </xf>
    <xf numFmtId="0" fontId="0" fillId="0" borderId="0" xfId="0" applyAlignment="1">
      <alignment horizontal="left" vertical="center" indent="1"/>
    </xf>
    <xf numFmtId="0" fontId="2" fillId="2" borderId="3" xfId="0" applyFont="1" applyFill="1" applyBorder="1" applyAlignment="1">
      <alignment horizontal="center" vertical="center"/>
    </xf>
    <xf numFmtId="0" fontId="3" fillId="0" borderId="0" xfId="0" applyFont="1"/>
    <xf numFmtId="0" fontId="2" fillId="2" borderId="3" xfId="0" applyFont="1" applyFill="1" applyBorder="1" applyAlignment="1">
      <alignment horizontal="left" vertical="center" indent="1"/>
    </xf>
    <xf numFmtId="0" fontId="3" fillId="3" borderId="6" xfId="0" applyFont="1" applyFill="1" applyBorder="1" applyAlignment="1">
      <alignment horizontal="left" vertical="center" indent="1"/>
    </xf>
    <xf numFmtId="0" fontId="3" fillId="3" borderId="1" xfId="0" applyFont="1" applyFill="1" applyBorder="1" applyAlignment="1">
      <alignment horizontal="left" vertical="center" indent="1"/>
    </xf>
    <xf numFmtId="0" fontId="3" fillId="3" borderId="1" xfId="0" applyFont="1" applyFill="1" applyBorder="1" applyAlignment="1">
      <alignment horizontal="left" vertical="center" wrapText="1" indent="1"/>
    </xf>
    <xf numFmtId="0" fontId="3" fillId="0" borderId="6" xfId="0" applyFont="1" applyBorder="1" applyAlignment="1">
      <alignment horizontal="left" vertical="center" indent="1"/>
    </xf>
    <xf numFmtId="0" fontId="3" fillId="0" borderId="1" xfId="0" applyFont="1" applyBorder="1" applyAlignment="1">
      <alignment horizontal="left" vertical="center" indent="1"/>
    </xf>
    <xf numFmtId="0" fontId="3" fillId="0" borderId="0" xfId="0" applyFont="1" applyAlignment="1">
      <alignment horizontal="center" vertical="center"/>
    </xf>
    <xf numFmtId="0" fontId="3" fillId="0" borderId="0" xfId="0" applyFont="1" applyAlignment="1">
      <alignment horizontal="left" vertical="center" indent="1"/>
    </xf>
    <xf numFmtId="1" fontId="3" fillId="0" borderId="0" xfId="0" applyNumberFormat="1" applyFont="1"/>
    <xf numFmtId="0" fontId="3" fillId="0" borderId="1" xfId="0" applyFont="1" applyBorder="1" applyAlignment="1">
      <alignment horizontal="left" vertical="center" wrapText="1" indent="1"/>
    </xf>
    <xf numFmtId="0" fontId="2" fillId="3" borderId="6"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4" fillId="0" borderId="0" xfId="0" applyFont="1"/>
    <xf numFmtId="0" fontId="3" fillId="3" borderId="1"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0" borderId="6" xfId="0" applyFont="1" applyBorder="1" applyAlignment="1">
      <alignment horizontal="center" vertical="center" wrapText="1"/>
    </xf>
    <xf numFmtId="0" fontId="3" fillId="0" borderId="1" xfId="0" applyFont="1" applyBorder="1" applyAlignment="1">
      <alignment horizontal="center" vertical="center" wrapText="1"/>
    </xf>
    <xf numFmtId="0" fontId="3" fillId="0" borderId="3" xfId="0" applyFont="1" applyBorder="1" applyAlignment="1">
      <alignment horizontal="center" vertical="center" wrapText="1"/>
    </xf>
    <xf numFmtId="0" fontId="3" fillId="3" borderId="6" xfId="0" applyFont="1" applyFill="1" applyBorder="1" applyAlignment="1">
      <alignment horizontal="center" vertical="center" wrapText="1"/>
    </xf>
    <xf numFmtId="0" fontId="3" fillId="3" borderId="1" xfId="0" applyFont="1" applyFill="1" applyBorder="1" applyAlignment="1">
      <alignment horizontal="center" vertical="center"/>
    </xf>
    <xf numFmtId="0" fontId="3" fillId="3" borderId="3" xfId="0" applyFont="1" applyFill="1" applyBorder="1" applyAlignment="1">
      <alignment horizontal="center" vertical="center"/>
    </xf>
    <xf numFmtId="0" fontId="3" fillId="0" borderId="1" xfId="0" applyFont="1" applyBorder="1" applyAlignment="1">
      <alignment horizontal="center" vertical="center"/>
    </xf>
    <xf numFmtId="0" fontId="3" fillId="0" borderId="3" xfId="0" applyFont="1" applyBorder="1" applyAlignment="1">
      <alignment horizontal="center" vertical="center"/>
    </xf>
    <xf numFmtId="0" fontId="3" fillId="3" borderId="6" xfId="0" applyFont="1" applyFill="1" applyBorder="1" applyAlignment="1">
      <alignment horizontal="center" vertical="center"/>
    </xf>
    <xf numFmtId="0" fontId="3" fillId="3" borderId="7" xfId="0" applyFont="1" applyFill="1" applyBorder="1" applyAlignment="1">
      <alignment horizontal="center" vertical="center"/>
    </xf>
    <xf numFmtId="0" fontId="5" fillId="0" borderId="0" xfId="0" applyFont="1" applyAlignment="1">
      <alignment horizontal="left" vertical="center" indent="1"/>
    </xf>
    <xf numFmtId="0" fontId="0" fillId="0" borderId="0" xfId="0" applyAlignment="1">
      <alignment horizontal="left" vertical="center" wrapText="1" indent="1"/>
    </xf>
    <xf numFmtId="0" fontId="0" fillId="0" borderId="0" xfId="0" applyAlignment="1">
      <alignment horizontal="left" indent="2"/>
    </xf>
    <xf numFmtId="0" fontId="1" fillId="4"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indent="1"/>
    </xf>
    <xf numFmtId="0" fontId="3" fillId="0" borderId="6" xfId="0" applyFont="1" applyBorder="1" applyAlignment="1">
      <alignment horizontal="center" vertical="center"/>
    </xf>
    <xf numFmtId="0" fontId="2" fillId="0" borderId="0" xfId="0" applyFont="1" applyAlignment="1">
      <alignment horizontal="center" vertical="center"/>
    </xf>
    <xf numFmtId="0" fontId="3" fillId="3" borderId="7" xfId="0" applyFont="1" applyFill="1" applyBorder="1" applyAlignment="1">
      <alignment horizontal="left" vertical="center" indent="1"/>
    </xf>
    <xf numFmtId="0" fontId="3" fillId="3" borderId="3" xfId="0" applyFont="1" applyFill="1" applyBorder="1" applyAlignment="1">
      <alignment horizontal="left" vertical="center" indent="1"/>
    </xf>
    <xf numFmtId="0" fontId="3" fillId="0" borderId="3" xfId="0" applyFont="1" applyBorder="1" applyAlignment="1">
      <alignment horizontal="left" vertical="center" indent="1"/>
    </xf>
    <xf numFmtId="0" fontId="2" fillId="2" borderId="2" xfId="0" applyFont="1" applyFill="1" applyBorder="1" applyAlignment="1">
      <alignment horizontal="left" vertical="center" wrapText="1" indent="1"/>
    </xf>
    <xf numFmtId="0" fontId="1" fillId="5" borderId="1" xfId="0" applyFont="1" applyFill="1" applyBorder="1"/>
    <xf numFmtId="0" fontId="1" fillId="5" borderId="1" xfId="0" applyFont="1" applyFill="1" applyBorder="1" applyAlignment="1">
      <alignment horizontal="center" vertical="center"/>
    </xf>
    <xf numFmtId="164" fontId="0" fillId="0" borderId="1" xfId="0" applyNumberFormat="1" applyBorder="1" applyAlignment="1">
      <alignment horizontal="center" vertical="center"/>
    </xf>
    <xf numFmtId="0" fontId="1" fillId="5" borderId="1" xfId="0" applyFont="1" applyFill="1" applyBorder="1" applyAlignment="1">
      <alignment horizontal="center" vertical="center" wrapText="1"/>
    </xf>
    <xf numFmtId="0" fontId="0" fillId="0" borderId="1" xfId="0" applyBorder="1" applyAlignment="1">
      <alignment horizontal="left" indent="1"/>
    </xf>
    <xf numFmtId="0" fontId="1" fillId="5" borderId="1" xfId="0" applyFont="1" applyFill="1" applyBorder="1" applyAlignment="1">
      <alignment horizontal="left" indent="1"/>
    </xf>
    <xf numFmtId="0" fontId="1" fillId="5" borderId="1" xfId="0" applyFont="1" applyFill="1" applyBorder="1" applyAlignment="1">
      <alignment horizontal="left" vertical="center" wrapText="1" indent="1"/>
    </xf>
    <xf numFmtId="1" fontId="1" fillId="5" borderId="1" xfId="0" applyNumberFormat="1" applyFont="1" applyFill="1" applyBorder="1" applyAlignment="1">
      <alignment horizontal="center" vertical="center"/>
    </xf>
    <xf numFmtId="0" fontId="0" fillId="0" borderId="0" xfId="0" applyAlignment="1">
      <alignment vertical="center" wrapText="1"/>
    </xf>
    <xf numFmtId="0" fontId="0" fillId="0" borderId="1" xfId="0" applyBorder="1" applyAlignment="1">
      <alignment horizontal="center" vertical="center"/>
    </xf>
    <xf numFmtId="0" fontId="1" fillId="0" borderId="1" xfId="0" applyFont="1" applyBorder="1" applyAlignment="1">
      <alignment horizontal="left" vertical="center" wrapText="1" indent="1"/>
    </xf>
    <xf numFmtId="0" fontId="6" fillId="0" borderId="0" xfId="0" applyFont="1"/>
    <xf numFmtId="0" fontId="7" fillId="0" borderId="0" xfId="0" applyFont="1"/>
    <xf numFmtId="0" fontId="10" fillId="0" borderId="0" xfId="0" applyFont="1"/>
    <xf numFmtId="0" fontId="3" fillId="6" borderId="6" xfId="0" applyFont="1" applyFill="1" applyBorder="1" applyAlignment="1">
      <alignment horizontal="center" vertical="center"/>
    </xf>
    <xf numFmtId="0" fontId="3" fillId="6" borderId="6" xfId="0" applyFont="1" applyFill="1" applyBorder="1" applyAlignment="1">
      <alignment horizontal="left" vertical="center" indent="1"/>
    </xf>
    <xf numFmtId="0" fontId="3" fillId="6" borderId="1" xfId="0" applyFont="1" applyFill="1" applyBorder="1" applyAlignment="1">
      <alignment horizontal="center" vertical="center"/>
    </xf>
    <xf numFmtId="0" fontId="3" fillId="6" borderId="1" xfId="0" applyFont="1" applyFill="1" applyBorder="1" applyAlignment="1">
      <alignment horizontal="left" vertical="center" indent="1"/>
    </xf>
    <xf numFmtId="0" fontId="3" fillId="6" borderId="7" xfId="0" applyFont="1" applyFill="1" applyBorder="1" applyAlignment="1">
      <alignment horizontal="center" vertical="center"/>
    </xf>
    <xf numFmtId="0" fontId="3" fillId="6" borderId="7" xfId="0" applyFont="1" applyFill="1" applyBorder="1" applyAlignment="1">
      <alignment horizontal="left" vertical="center" indent="1"/>
    </xf>
    <xf numFmtId="0" fontId="0" fillId="0" borderId="1" xfId="0" applyBorder="1"/>
    <xf numFmtId="0" fontId="0" fillId="5" borderId="1" xfId="0" applyFill="1" applyBorder="1"/>
    <xf numFmtId="0" fontId="0" fillId="5" borderId="1" xfId="0" applyFill="1" applyBorder="1" applyAlignment="1">
      <alignment horizontal="center" vertical="center"/>
    </xf>
    <xf numFmtId="0" fontId="1" fillId="0" borderId="0" xfId="0" applyFont="1"/>
    <xf numFmtId="0" fontId="1" fillId="0" borderId="0" xfId="0" applyFont="1" applyAlignment="1">
      <alignment horizontal="center" vertical="center" wrapText="1"/>
    </xf>
    <xf numFmtId="0" fontId="0" fillId="0" borderId="0" xfId="0" applyAlignment="1">
      <alignment vertical="center"/>
    </xf>
    <xf numFmtId="0" fontId="0" fillId="0" borderId="1" xfId="0" applyBorder="1" applyAlignment="1">
      <alignment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xf>
    <xf numFmtId="0" fontId="7" fillId="0" borderId="0" xfId="0" applyFont="1" applyAlignment="1">
      <alignment vertical="center"/>
    </xf>
    <xf numFmtId="0" fontId="12" fillId="0" borderId="1" xfId="0" applyFont="1" applyBorder="1" applyAlignment="1">
      <alignment horizontal="left" vertical="center" wrapText="1" indent="1"/>
    </xf>
    <xf numFmtId="0" fontId="3" fillId="3" borderId="8" xfId="0" applyFont="1" applyFill="1" applyBorder="1" applyAlignment="1">
      <alignment horizontal="left" vertical="center" wrapText="1" indent="1"/>
    </xf>
    <xf numFmtId="0" fontId="3" fillId="3" borderId="4" xfId="0" applyFont="1" applyFill="1" applyBorder="1" applyAlignment="1">
      <alignment horizontal="left" vertical="center" wrapText="1" indent="1"/>
    </xf>
    <xf numFmtId="0" fontId="3" fillId="0" borderId="8" xfId="0" applyFont="1" applyBorder="1" applyAlignment="1">
      <alignment horizontal="left" vertical="center" wrapText="1" indent="1"/>
    </xf>
    <xf numFmtId="0" fontId="3" fillId="0" borderId="4" xfId="0" applyFont="1" applyBorder="1" applyAlignment="1">
      <alignment horizontal="left" vertical="center" wrapText="1" indent="1"/>
    </xf>
    <xf numFmtId="0" fontId="3" fillId="3" borderId="4" xfId="0" applyFont="1" applyFill="1" applyBorder="1" applyAlignment="1">
      <alignment horizontal="left" vertical="center" indent="1"/>
    </xf>
    <xf numFmtId="0" fontId="3" fillId="0" borderId="4" xfId="0" applyFont="1" applyBorder="1" applyAlignment="1">
      <alignment horizontal="left" vertical="center" indent="1"/>
    </xf>
    <xf numFmtId="0" fontId="3" fillId="3" borderId="8" xfId="0" applyFont="1" applyFill="1" applyBorder="1" applyAlignment="1">
      <alignment horizontal="left" vertical="center" indent="1"/>
    </xf>
    <xf numFmtId="0" fontId="3" fillId="0" borderId="8" xfId="0" applyFont="1" applyBorder="1" applyAlignment="1">
      <alignment horizontal="left" vertical="center" indent="1"/>
    </xf>
    <xf numFmtId="0" fontId="3" fillId="3" borderId="9" xfId="0" applyFont="1" applyFill="1" applyBorder="1" applyAlignment="1">
      <alignment horizontal="left" vertical="center" indent="1"/>
    </xf>
    <xf numFmtId="0" fontId="3" fillId="6" borderId="8" xfId="0" applyFont="1" applyFill="1" applyBorder="1" applyAlignment="1">
      <alignment horizontal="left" vertical="center" indent="1"/>
    </xf>
    <xf numFmtId="0" fontId="3" fillId="6" borderId="4" xfId="0" applyFont="1" applyFill="1" applyBorder="1" applyAlignment="1">
      <alignment horizontal="left" vertical="center" indent="1"/>
    </xf>
    <xf numFmtId="0" fontId="3" fillId="6" borderId="9" xfId="0" applyFont="1" applyFill="1" applyBorder="1" applyAlignment="1">
      <alignment horizontal="left" vertical="center" indent="1"/>
    </xf>
    <xf numFmtId="0" fontId="1" fillId="0" borderId="0" xfId="0" applyFont="1" applyAlignment="1">
      <alignment vertical="center" wrapText="1"/>
    </xf>
    <xf numFmtId="0" fontId="1" fillId="5" borderId="0" xfId="0" applyFont="1" applyFill="1" applyAlignment="1">
      <alignment horizontal="center" vertical="center" wrapText="1"/>
    </xf>
    <xf numFmtId="0" fontId="0" fillId="0" borderId="0" xfId="0" applyAlignment="1">
      <alignment horizontal="center" vertical="center" wrapText="1"/>
    </xf>
    <xf numFmtId="0" fontId="14" fillId="0" borderId="0" xfId="0" applyFont="1" applyAlignment="1">
      <alignment vertical="center"/>
    </xf>
    <xf numFmtId="0" fontId="1" fillId="5" borderId="0" xfId="0" applyFont="1" applyFill="1" applyAlignment="1">
      <alignment horizontal="left" vertical="center"/>
    </xf>
    <xf numFmtId="0" fontId="15" fillId="0" borderId="0" xfId="0" applyFont="1" applyAlignment="1">
      <alignment horizontal="left" vertical="center"/>
    </xf>
    <xf numFmtId="0" fontId="2" fillId="3"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5" borderId="1" xfId="0" applyFont="1" applyFill="1" applyBorder="1" applyAlignment="1">
      <alignment horizontal="center" vertical="center"/>
    </xf>
    <xf numFmtId="0" fontId="2" fillId="5" borderId="1" xfId="0" applyFont="1" applyFill="1" applyBorder="1" applyAlignment="1">
      <alignment horizontal="left" vertical="center" wrapText="1" indent="1"/>
    </xf>
    <xf numFmtId="0" fontId="2" fillId="5" borderId="1" xfId="0" applyFont="1" applyFill="1" applyBorder="1" applyAlignment="1">
      <alignment horizontal="left" vertical="center" indent="1"/>
    </xf>
    <xf numFmtId="0" fontId="16" fillId="0" borderId="0" xfId="1" applyAlignment="1">
      <alignment vertical="center"/>
    </xf>
    <xf numFmtId="0" fontId="17" fillId="0" borderId="0" xfId="1" applyFont="1" applyAlignment="1">
      <alignment horizontal="left" vertical="center"/>
    </xf>
    <xf numFmtId="0" fontId="17" fillId="0" borderId="0" xfId="1" applyFont="1" applyAlignment="1">
      <alignment horizontal="center" vertical="center"/>
    </xf>
    <xf numFmtId="0" fontId="18" fillId="6" borderId="1" xfId="1" applyFont="1" applyFill="1" applyBorder="1" applyAlignment="1">
      <alignment horizontal="center" vertical="center" wrapText="1"/>
    </xf>
    <xf numFmtId="0" fontId="18" fillId="6" borderId="0" xfId="1" applyFont="1" applyFill="1" applyAlignment="1">
      <alignment horizontal="center" vertical="center" wrapText="1"/>
    </xf>
    <xf numFmtId="0" fontId="19" fillId="7" borderId="1" xfId="1" applyFont="1" applyFill="1" applyBorder="1" applyAlignment="1">
      <alignment horizontal="center" vertical="center" wrapText="1"/>
    </xf>
    <xf numFmtId="0" fontId="19" fillId="8" borderId="1" xfId="1" applyFont="1" applyFill="1" applyBorder="1" applyAlignment="1">
      <alignment horizontal="center" vertical="center" wrapText="1"/>
    </xf>
    <xf numFmtId="0" fontId="18" fillId="8" borderId="1" xfId="1" applyFont="1" applyFill="1" applyBorder="1" applyAlignment="1">
      <alignment horizontal="center" vertical="center" wrapText="1"/>
    </xf>
    <xf numFmtId="0" fontId="16" fillId="6" borderId="0" xfId="1" applyFill="1" applyAlignment="1">
      <alignment vertical="center"/>
    </xf>
    <xf numFmtId="0" fontId="20" fillId="6" borderId="1" xfId="1" applyFont="1" applyFill="1" applyBorder="1" applyAlignment="1">
      <alignment horizontal="left" vertical="center" wrapText="1"/>
    </xf>
    <xf numFmtId="0" fontId="20" fillId="6" borderId="1" xfId="1" applyFont="1" applyFill="1" applyBorder="1" applyAlignment="1">
      <alignment horizontal="center" vertical="center" wrapText="1"/>
    </xf>
    <xf numFmtId="0" fontId="17" fillId="0" borderId="1" xfId="1" applyFont="1" applyBorder="1" applyAlignment="1">
      <alignment horizontal="center" vertical="center"/>
    </xf>
    <xf numFmtId="0" fontId="18" fillId="6" borderId="0" xfId="1" applyFont="1" applyFill="1" applyAlignment="1">
      <alignment horizontal="left" vertical="center" wrapText="1"/>
    </xf>
    <xf numFmtId="0" fontId="20" fillId="6" borderId="0" xfId="1" applyFont="1" applyFill="1" applyAlignment="1">
      <alignment horizontal="center" vertical="center"/>
    </xf>
    <xf numFmtId="0" fontId="17" fillId="0" borderId="0" xfId="1" applyFont="1" applyAlignment="1">
      <alignment vertical="center"/>
    </xf>
    <xf numFmtId="0" fontId="16" fillId="9" borderId="13" xfId="2" applyFill="1" applyBorder="1" applyAlignment="1">
      <alignment horizontal="center" vertical="center" wrapText="1"/>
    </xf>
    <xf numFmtId="0" fontId="16" fillId="9" borderId="14" xfId="2" applyFill="1" applyBorder="1" applyAlignment="1">
      <alignment horizontal="center" vertical="center"/>
    </xf>
    <xf numFmtId="0" fontId="16" fillId="9" borderId="15" xfId="2" applyFill="1" applyBorder="1" applyAlignment="1">
      <alignment horizontal="center" vertical="center"/>
    </xf>
    <xf numFmtId="0" fontId="16" fillId="9" borderId="16" xfId="2" applyFill="1" applyBorder="1" applyAlignment="1">
      <alignment horizontal="center" vertical="center"/>
    </xf>
    <xf numFmtId="0" fontId="16" fillId="0" borderId="0" xfId="2" applyAlignment="1">
      <alignment horizontal="center" vertical="center"/>
    </xf>
    <xf numFmtId="0" fontId="16" fillId="0" borderId="0" xfId="1" applyAlignment="1">
      <alignment horizontal="center" vertical="center"/>
    </xf>
    <xf numFmtId="0" fontId="17" fillId="0" borderId="17" xfId="2" applyFont="1" applyBorder="1" applyAlignment="1">
      <alignment horizontal="center" vertical="center"/>
    </xf>
    <xf numFmtId="0" fontId="17" fillId="0" borderId="18" xfId="2" applyFont="1" applyBorder="1" applyAlignment="1">
      <alignment horizontal="center" vertical="center"/>
    </xf>
    <xf numFmtId="0" fontId="16" fillId="0" borderId="1" xfId="2" applyBorder="1" applyAlignment="1">
      <alignment horizontal="center" vertical="center" wrapText="1"/>
    </xf>
    <xf numFmtId="0" fontId="16" fillId="0" borderId="19" xfId="2" applyBorder="1" applyAlignment="1">
      <alignment vertical="center" wrapText="1"/>
    </xf>
    <xf numFmtId="0" fontId="16" fillId="0" borderId="0" xfId="2" applyAlignment="1">
      <alignment vertical="center"/>
    </xf>
    <xf numFmtId="0" fontId="16" fillId="0" borderId="0" xfId="2" applyAlignment="1">
      <alignment vertical="center" wrapText="1"/>
    </xf>
    <xf numFmtId="0" fontId="17" fillId="0" borderId="20" xfId="2" applyFont="1" applyBorder="1" applyAlignment="1">
      <alignment horizontal="center" vertical="center"/>
    </xf>
    <xf numFmtId="0" fontId="17" fillId="0" borderId="21" xfId="2" applyFont="1" applyBorder="1" applyAlignment="1">
      <alignment horizontal="center" vertical="center"/>
    </xf>
    <xf numFmtId="0" fontId="16" fillId="0" borderId="22" xfId="2" applyBorder="1" applyAlignment="1">
      <alignment horizontal="center" vertical="center" wrapText="1"/>
    </xf>
    <xf numFmtId="0" fontId="16" fillId="0" borderId="23" xfId="2" applyBorder="1" applyAlignment="1">
      <alignment vertical="center"/>
    </xf>
    <xf numFmtId="0" fontId="23" fillId="0" borderId="0" xfId="1" applyFont="1" applyAlignment="1">
      <alignment vertical="center"/>
    </xf>
    <xf numFmtId="0" fontId="0" fillId="0" borderId="1" xfId="0" applyBorder="1" applyAlignment="1">
      <alignment horizontal="left" vertical="center"/>
    </xf>
    <xf numFmtId="0" fontId="1" fillId="10" borderId="1" xfId="0" applyFont="1" applyFill="1" applyBorder="1" applyAlignment="1">
      <alignment horizontal="center" vertical="center" wrapText="1"/>
    </xf>
    <xf numFmtId="0" fontId="25" fillId="0" borderId="1" xfId="0" applyFont="1" applyBorder="1" applyAlignment="1">
      <alignment horizontal="center" vertical="center" wrapText="1"/>
    </xf>
    <xf numFmtId="0" fontId="1" fillId="11" borderId="1" xfId="0" applyFont="1" applyFill="1" applyBorder="1" applyAlignment="1">
      <alignment horizontal="center" vertical="center" wrapText="1"/>
    </xf>
    <xf numFmtId="0" fontId="28" fillId="6" borderId="0" xfId="1" applyFont="1" applyFill="1" applyAlignment="1">
      <alignment horizontal="left" vertical="center"/>
    </xf>
    <xf numFmtId="0" fontId="30" fillId="0" borderId="0" xfId="1" applyFont="1" applyAlignment="1">
      <alignment vertical="center"/>
    </xf>
    <xf numFmtId="0" fontId="29" fillId="0" borderId="0" xfId="0" applyFont="1" applyAlignment="1">
      <alignment vertical="center"/>
    </xf>
    <xf numFmtId="0" fontId="27" fillId="6" borderId="0" xfId="1" applyFont="1" applyFill="1" applyAlignment="1">
      <alignment horizontal="left" vertical="center" indent="2"/>
    </xf>
    <xf numFmtId="0" fontId="31" fillId="0" borderId="0" xfId="0" applyFont="1" applyAlignment="1">
      <alignment horizontal="center" vertical="center"/>
    </xf>
    <xf numFmtId="0" fontId="34" fillId="6" borderId="0" xfId="1" applyFont="1" applyFill="1" applyAlignment="1">
      <alignment horizontal="left" vertical="center" indent="2"/>
    </xf>
    <xf numFmtId="0" fontId="31" fillId="0" borderId="0" xfId="0" applyFont="1"/>
    <xf numFmtId="0" fontId="32" fillId="6" borderId="0" xfId="1" applyFont="1" applyFill="1" applyAlignment="1">
      <alignment horizontal="left" vertical="center"/>
    </xf>
    <xf numFmtId="0" fontId="0" fillId="3" borderId="1" xfId="0" applyFill="1" applyBorder="1" applyAlignment="1">
      <alignment horizontal="left" vertical="center" wrapText="1" indent="1"/>
    </xf>
    <xf numFmtId="0" fontId="0" fillId="3" borderId="1" xfId="0" applyFill="1" applyBorder="1" applyAlignment="1">
      <alignment horizontal="center" vertical="center" wrapText="1"/>
    </xf>
    <xf numFmtId="0" fontId="1" fillId="5" borderId="1" xfId="0" applyFont="1" applyFill="1" applyBorder="1" applyAlignment="1">
      <alignment horizontal="left" vertical="center"/>
    </xf>
    <xf numFmtId="0" fontId="0" fillId="3" borderId="1" xfId="0" applyFill="1" applyBorder="1" applyAlignment="1">
      <alignment horizontal="left" vertical="center"/>
    </xf>
    <xf numFmtId="0" fontId="3" fillId="0" borderId="6" xfId="0" applyFont="1" applyBorder="1" applyAlignment="1">
      <alignment horizontal="center" vertical="center"/>
    </xf>
    <xf numFmtId="0" fontId="3" fillId="0" borderId="1" xfId="0" applyFont="1" applyBorder="1" applyAlignment="1">
      <alignment horizontal="center" vertical="center"/>
    </xf>
    <xf numFmtId="0" fontId="3" fillId="0" borderId="3" xfId="0" applyFont="1" applyBorder="1" applyAlignment="1">
      <alignment horizontal="center" vertical="center"/>
    </xf>
    <xf numFmtId="0" fontId="3" fillId="6" borderId="6" xfId="0" applyFont="1" applyFill="1" applyBorder="1" applyAlignment="1">
      <alignment horizontal="center" vertical="center"/>
    </xf>
    <xf numFmtId="0" fontId="3" fillId="6" borderId="1" xfId="0" applyFont="1" applyFill="1" applyBorder="1" applyAlignment="1">
      <alignment horizontal="center" vertical="center"/>
    </xf>
    <xf numFmtId="0" fontId="3" fillId="6" borderId="7" xfId="0" applyFont="1" applyFill="1" applyBorder="1" applyAlignment="1">
      <alignment horizontal="center" vertical="center"/>
    </xf>
    <xf numFmtId="0" fontId="3" fillId="3" borderId="6" xfId="0" applyFont="1" applyFill="1" applyBorder="1" applyAlignment="1">
      <alignment horizontal="center" vertical="center"/>
    </xf>
    <xf numFmtId="0" fontId="3" fillId="3" borderId="1"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7" xfId="0" applyFont="1" applyFill="1" applyBorder="1" applyAlignment="1">
      <alignment horizontal="center" vertical="center"/>
    </xf>
    <xf numFmtId="164" fontId="2" fillId="0" borderId="1" xfId="0" applyNumberFormat="1" applyFont="1" applyBorder="1" applyAlignment="1">
      <alignment horizontal="center" vertical="center" wrapText="1"/>
    </xf>
    <xf numFmtId="164" fontId="2" fillId="3" borderId="8" xfId="0" applyNumberFormat="1" applyFont="1" applyFill="1" applyBorder="1" applyAlignment="1">
      <alignment horizontal="center" vertical="center" wrapText="1"/>
    </xf>
    <xf numFmtId="164" fontId="2" fillId="3" borderId="1" xfId="0" applyNumberFormat="1" applyFont="1" applyFill="1" applyBorder="1" applyAlignment="1">
      <alignment horizontal="center" vertical="center" wrapText="1"/>
    </xf>
    <xf numFmtId="164" fontId="2" fillId="3" borderId="4" xfId="0" applyNumberFormat="1" applyFont="1" applyFill="1" applyBorder="1" applyAlignment="1">
      <alignment horizontal="center" vertical="center" wrapText="1"/>
    </xf>
    <xf numFmtId="164" fontId="2" fillId="3" borderId="9" xfId="0" applyNumberFormat="1" applyFont="1" applyFill="1" applyBorder="1" applyAlignment="1">
      <alignment horizontal="center" vertical="center" wrapText="1"/>
    </xf>
    <xf numFmtId="164" fontId="2" fillId="0" borderId="8" xfId="0" applyNumberFormat="1" applyFont="1" applyBorder="1" applyAlignment="1">
      <alignment horizontal="center" vertical="center" wrapText="1"/>
    </xf>
    <xf numFmtId="164" fontId="2" fillId="0" borderId="4" xfId="0" applyNumberFormat="1" applyFont="1" applyBorder="1" applyAlignment="1">
      <alignment horizontal="center" vertical="center" wrapText="1"/>
    </xf>
    <xf numFmtId="164" fontId="2" fillId="0" borderId="9" xfId="0" applyNumberFormat="1" applyFont="1" applyBorder="1" applyAlignment="1">
      <alignment horizontal="center" vertical="center" wrapText="1"/>
    </xf>
    <xf numFmtId="164" fontId="2" fillId="6" borderId="1" xfId="0" applyNumberFormat="1" applyFont="1" applyFill="1" applyBorder="1" applyAlignment="1">
      <alignment horizontal="center" vertical="center" wrapText="1"/>
    </xf>
    <xf numFmtId="164" fontId="2" fillId="6" borderId="8" xfId="0" applyNumberFormat="1" applyFont="1" applyFill="1" applyBorder="1" applyAlignment="1">
      <alignment horizontal="center" vertical="center" wrapText="1"/>
    </xf>
    <xf numFmtId="164" fontId="2" fillId="6" borderId="4" xfId="0" applyNumberFormat="1" applyFont="1" applyFill="1" applyBorder="1" applyAlignment="1">
      <alignment horizontal="center" vertical="center" wrapText="1"/>
    </xf>
    <xf numFmtId="164" fontId="2" fillId="6" borderId="9" xfId="0" applyNumberFormat="1" applyFont="1" applyFill="1" applyBorder="1" applyAlignment="1">
      <alignment horizontal="center" vertical="center" wrapText="1"/>
    </xf>
    <xf numFmtId="0" fontId="3" fillId="3" borderId="10" xfId="0" applyFont="1" applyFill="1" applyBorder="1" applyAlignment="1">
      <alignment horizontal="center" vertical="center"/>
    </xf>
    <xf numFmtId="0" fontId="3" fillId="3" borderId="11" xfId="0" applyFont="1" applyFill="1" applyBorder="1" applyAlignment="1">
      <alignment horizontal="center" vertical="center"/>
    </xf>
    <xf numFmtId="0" fontId="3" fillId="3" borderId="12" xfId="0" applyFont="1" applyFill="1" applyBorder="1" applyAlignment="1">
      <alignment horizontal="center" vertical="center"/>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164" fontId="2" fillId="6" borderId="3" xfId="0" applyNumberFormat="1" applyFont="1" applyFill="1" applyBorder="1" applyAlignment="1">
      <alignment horizontal="center" vertical="center" wrapText="1"/>
    </xf>
    <xf numFmtId="164" fontId="2" fillId="6" borderId="5" xfId="0" applyNumberFormat="1" applyFont="1" applyFill="1" applyBorder="1" applyAlignment="1">
      <alignment horizontal="center" vertical="center" wrapText="1"/>
    </xf>
    <xf numFmtId="164" fontId="2" fillId="3" borderId="3" xfId="0" applyNumberFormat="1" applyFont="1" applyFill="1" applyBorder="1" applyAlignment="1">
      <alignment horizontal="center" vertical="center" wrapText="1"/>
    </xf>
    <xf numFmtId="164" fontId="2" fillId="3" borderId="5" xfId="0" applyNumberFormat="1" applyFont="1" applyFill="1" applyBorder="1" applyAlignment="1">
      <alignment horizontal="center" vertical="center" wrapText="1"/>
    </xf>
    <xf numFmtId="164" fontId="2" fillId="0" borderId="3" xfId="0" applyNumberFormat="1" applyFont="1" applyBorder="1" applyAlignment="1">
      <alignment horizontal="center" vertical="center" wrapText="1"/>
    </xf>
    <xf numFmtId="164" fontId="2" fillId="0" borderId="5" xfId="0" applyNumberFormat="1" applyFont="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0" fillId="0" borderId="3" xfId="0" applyBorder="1" applyAlignment="1">
      <alignment horizontal="left" vertical="center" wrapText="1" indent="1"/>
    </xf>
    <xf numFmtId="0" fontId="0" fillId="0" borderId="5" xfId="0" applyBorder="1" applyAlignment="1">
      <alignment horizontal="left" vertical="center" wrapText="1" indent="1"/>
    </xf>
    <xf numFmtId="0" fontId="26" fillId="6" borderId="3" xfId="1" applyFont="1" applyFill="1" applyBorder="1" applyAlignment="1">
      <alignment horizontal="center" vertical="center" textRotation="90" wrapText="1"/>
    </xf>
    <xf numFmtId="0" fontId="26" fillId="6" borderId="5" xfId="1" applyFont="1" applyFill="1" applyBorder="1" applyAlignment="1">
      <alignment horizontal="center" vertical="center" textRotation="90" wrapText="1"/>
    </xf>
    <xf numFmtId="0" fontId="26" fillId="6" borderId="1" xfId="1" applyFont="1" applyFill="1" applyBorder="1" applyAlignment="1">
      <alignment horizontal="center" vertical="center" textRotation="90" wrapText="1"/>
    </xf>
    <xf numFmtId="0" fontId="26" fillId="6" borderId="4" xfId="1" applyFont="1" applyFill="1" applyBorder="1" applyAlignment="1">
      <alignment horizontal="center" vertical="center" textRotation="90" wrapText="1"/>
    </xf>
    <xf numFmtId="0" fontId="0" fillId="0" borderId="1" xfId="0" applyBorder="1" applyAlignment="1">
      <alignment horizontal="left" vertical="center" wrapText="1" indent="1"/>
    </xf>
    <xf numFmtId="0" fontId="18" fillId="6" borderId="3" xfId="1" applyFont="1" applyFill="1" applyBorder="1" applyAlignment="1">
      <alignment horizontal="center" vertical="center" wrapText="1"/>
    </xf>
    <xf numFmtId="0" fontId="18" fillId="6" borderId="5" xfId="1" applyFont="1" applyFill="1" applyBorder="1" applyAlignment="1">
      <alignment horizontal="center" vertical="center" wrapText="1"/>
    </xf>
    <xf numFmtId="0" fontId="18" fillId="6" borderId="1" xfId="1" applyFont="1" applyFill="1" applyBorder="1" applyAlignment="1">
      <alignment horizontal="center" vertical="center" wrapText="1"/>
    </xf>
    <xf numFmtId="0" fontId="18" fillId="8" borderId="3" xfId="1" applyFont="1" applyFill="1" applyBorder="1" applyAlignment="1">
      <alignment horizontal="center" vertical="center" wrapText="1"/>
    </xf>
    <xf numFmtId="0" fontId="18" fillId="8" borderId="4" xfId="1" applyFont="1" applyFill="1" applyBorder="1" applyAlignment="1">
      <alignment horizontal="center" vertical="center" wrapText="1"/>
    </xf>
    <xf numFmtId="0" fontId="18" fillId="8" borderId="5" xfId="1" applyFont="1" applyFill="1" applyBorder="1" applyAlignment="1">
      <alignment horizontal="center" vertical="center" wrapText="1"/>
    </xf>
    <xf numFmtId="0" fontId="20" fillId="6" borderId="1" xfId="1" applyFont="1" applyFill="1" applyBorder="1" applyAlignment="1">
      <alignment horizontal="left" vertical="center" wrapText="1"/>
    </xf>
    <xf numFmtId="0" fontId="18" fillId="6" borderId="4" xfId="1" applyFont="1" applyFill="1" applyBorder="1" applyAlignment="1">
      <alignment horizontal="center" vertical="center" wrapText="1"/>
    </xf>
    <xf numFmtId="0" fontId="16" fillId="0" borderId="3" xfId="1" applyBorder="1" applyAlignment="1">
      <alignment horizontal="center" vertical="center"/>
    </xf>
    <xf numFmtId="0" fontId="16" fillId="0" borderId="5" xfId="1" applyBorder="1" applyAlignment="1">
      <alignment horizontal="center" vertical="center"/>
    </xf>
    <xf numFmtId="0" fontId="18" fillId="6" borderId="0" xfId="1" applyFont="1" applyFill="1" applyAlignment="1">
      <alignment horizontal="left" vertical="center" wrapText="1"/>
    </xf>
    <xf numFmtId="0" fontId="16" fillId="0" borderId="4" xfId="1" applyBorder="1" applyAlignment="1">
      <alignment horizontal="center" vertical="center"/>
    </xf>
    <xf numFmtId="0" fontId="0" fillId="0" borderId="0" xfId="0" applyAlignment="1">
      <alignment vertical="center" wrapText="1"/>
    </xf>
  </cellXfs>
  <cellStyles count="3">
    <cellStyle name="Normal" xfId="0" builtinId="0"/>
    <cellStyle name="Normal 2 3" xfId="1" xr:uid="{10B42734-7D4B-42FD-8B8F-3CC80D2E5033}"/>
    <cellStyle name="Normal 4" xfId="2" xr:uid="{960012CC-5CA1-4561-A16B-127BE31376CD}"/>
  </cellStyles>
  <dxfs count="0"/>
  <tableStyles count="1" defaultTableStyle="TableStyleMedium9" defaultPivotStyle="PivotStyleLight16">
    <tableStyle name="Invisible" pivot="0" table="0" count="0" xr9:uid="{1C56662D-D315-412F-9EA4-3CB8CD7C003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5.xml"/><Relationship Id="rId26" Type="http://schemas.openxmlformats.org/officeDocument/2006/relationships/externalLink" Target="externalLinks/externalLink13.xml"/><Relationship Id="rId39" Type="http://schemas.openxmlformats.org/officeDocument/2006/relationships/customXml" Target="../customXml/item1.xml"/><Relationship Id="rId21" Type="http://schemas.openxmlformats.org/officeDocument/2006/relationships/externalLink" Target="externalLinks/externalLink8.xml"/><Relationship Id="rId34" Type="http://schemas.openxmlformats.org/officeDocument/2006/relationships/externalLink" Target="externalLinks/externalLink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externalLink" Target="externalLinks/externalLink7.xml"/><Relationship Id="rId29" Type="http://schemas.openxmlformats.org/officeDocument/2006/relationships/externalLink" Target="externalLinks/externalLink16.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1.xml"/><Relationship Id="rId32" Type="http://schemas.openxmlformats.org/officeDocument/2006/relationships/externalLink" Target="externalLinks/externalLink19.xml"/><Relationship Id="rId37" Type="http://schemas.openxmlformats.org/officeDocument/2006/relationships/sharedStrings" Target="sharedString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externalLink" Target="externalLinks/externalLink10.xml"/><Relationship Id="rId28" Type="http://schemas.openxmlformats.org/officeDocument/2006/relationships/externalLink" Target="externalLinks/externalLink15.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6.xml"/><Relationship Id="rId31"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externalLink" Target="externalLinks/externalLink9.xml"/><Relationship Id="rId27" Type="http://schemas.openxmlformats.org/officeDocument/2006/relationships/externalLink" Target="externalLinks/externalLink14.xml"/><Relationship Id="rId30" Type="http://schemas.openxmlformats.org/officeDocument/2006/relationships/externalLink" Target="externalLinks/externalLink17.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openxmlformats.org/officeDocument/2006/relationships/externalLink" Target="externalLinks/externalLink12.xml"/><Relationship Id="rId33" Type="http://schemas.openxmlformats.org/officeDocument/2006/relationships/externalLink" Target="externalLinks/externalLink20.xml"/><Relationship Id="rId38"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 PQ FC gate Exterior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9477809759356754"/>
          <c:y val="0.1658877234401481"/>
          <c:w val="0.61749276021348398"/>
          <c:h val="0.79022098676050756"/>
        </c:manualLayout>
      </c:layout>
      <c:radarChart>
        <c:radarStyle val="marker"/>
        <c:varyColors val="0"/>
        <c:ser>
          <c:idx val="0"/>
          <c:order val="0"/>
          <c:tx>
            <c:strRef>
              <c:f>'PQ Criteria'!$C$11</c:f>
              <c:strCache>
                <c:ptCount val="1"/>
                <c:pt idx="0">
                  <c:v>BYD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extLst>
                <c:ext xmlns:c15="http://schemas.microsoft.com/office/drawing/2012/chart" uri="{02D57815-91ED-43cb-92C2-25804820EDAC}">
                  <c15:fullRef>
                    <c15:sqref>'PQ Criteria'!$B$12:$B$18</c15:sqref>
                  </c15:fullRef>
                </c:ext>
              </c:extLst>
              <c:f>'PQ Criteria'!$B$12:$B$17</c:f>
              <c:strCache>
                <c:ptCount val="6"/>
                <c:pt idx="0">
                  <c:v>Functionality</c:v>
                </c:pt>
                <c:pt idx="1">
                  <c:v>Aesthetics</c:v>
                </c:pt>
                <c:pt idx="2">
                  <c:v>Fit &amp; Finish</c:v>
                </c:pt>
                <c:pt idx="3">
                  <c:v>Touch &amp; Feel</c:v>
                </c:pt>
                <c:pt idx="4">
                  <c:v>Sound Quality</c:v>
                </c:pt>
                <c:pt idx="5">
                  <c:v>Harmony &amp; Authenticity</c:v>
                </c:pt>
              </c:strCache>
            </c:strRef>
          </c:cat>
          <c:val>
            <c:numRef>
              <c:extLst>
                <c:ext xmlns:c15="http://schemas.microsoft.com/office/drawing/2012/chart" uri="{02D57815-91ED-43cb-92C2-25804820EDAC}">
                  <c15:fullRef>
                    <c15:sqref>'PQ Criteria'!$C$12:$C$18</c15:sqref>
                  </c15:fullRef>
                </c:ext>
              </c:extLst>
              <c:f>'PQ Criteria'!$C$12:$C$17</c:f>
              <c:numCache>
                <c:formatCode>0.0</c:formatCode>
                <c:ptCount val="6"/>
                <c:pt idx="0">
                  <c:v>5.833333333333333</c:v>
                </c:pt>
                <c:pt idx="1">
                  <c:v>6</c:v>
                </c:pt>
                <c:pt idx="2">
                  <c:v>5.833333333333333</c:v>
                </c:pt>
                <c:pt idx="3">
                  <c:v>6</c:v>
                </c:pt>
                <c:pt idx="4">
                  <c:v>6</c:v>
                </c:pt>
                <c:pt idx="5">
                  <c:v>6</c:v>
                </c:pt>
              </c:numCache>
            </c:numRef>
          </c:val>
          <c:extLst>
            <c:ext xmlns:c16="http://schemas.microsoft.com/office/drawing/2014/chart" uri="{C3380CC4-5D6E-409C-BE32-E72D297353CC}">
              <c16:uniqueId val="{00000000-AAC8-4DB4-9BF9-F26EA1BF9354}"/>
            </c:ext>
          </c:extLst>
        </c:ser>
        <c:ser>
          <c:idx val="1"/>
          <c:order val="1"/>
          <c:tx>
            <c:strRef>
              <c:f>'PQ Criteria'!$D$11</c:f>
              <c:strCache>
                <c:ptCount val="1"/>
                <c:pt idx="0">
                  <c:v>VF6</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extLst>
                <c:ext xmlns:c15="http://schemas.microsoft.com/office/drawing/2012/chart" uri="{02D57815-91ED-43cb-92C2-25804820EDAC}">
                  <c15:fullRef>
                    <c15:sqref>'PQ Criteria'!$B$12:$B$18</c15:sqref>
                  </c15:fullRef>
                </c:ext>
              </c:extLst>
              <c:f>'PQ Criteria'!$B$12:$B$17</c:f>
              <c:strCache>
                <c:ptCount val="6"/>
                <c:pt idx="0">
                  <c:v>Functionality</c:v>
                </c:pt>
                <c:pt idx="1">
                  <c:v>Aesthetics</c:v>
                </c:pt>
                <c:pt idx="2">
                  <c:v>Fit &amp; Finish</c:v>
                </c:pt>
                <c:pt idx="3">
                  <c:v>Touch &amp; Feel</c:v>
                </c:pt>
                <c:pt idx="4">
                  <c:v>Sound Quality</c:v>
                </c:pt>
                <c:pt idx="5">
                  <c:v>Harmony &amp; Authenticity</c:v>
                </c:pt>
              </c:strCache>
            </c:strRef>
          </c:cat>
          <c:val>
            <c:numRef>
              <c:extLst>
                <c:ext xmlns:c15="http://schemas.microsoft.com/office/drawing/2012/chart" uri="{02D57815-91ED-43cb-92C2-25804820EDAC}">
                  <c15:fullRef>
                    <c15:sqref>'PQ Criteria'!$D$12:$D$18</c15:sqref>
                  </c15:fullRef>
                </c:ext>
              </c:extLst>
              <c:f>'PQ Criteria'!$D$12:$D$17</c:f>
              <c:numCache>
                <c:formatCode>0.0</c:formatCode>
                <c:ptCount val="6"/>
                <c:pt idx="0">
                  <c:v>6</c:v>
                </c:pt>
                <c:pt idx="1">
                  <c:v>5.833333333333333</c:v>
                </c:pt>
                <c:pt idx="2">
                  <c:v>5.166666666666667</c:v>
                </c:pt>
                <c:pt idx="3">
                  <c:v>5.5</c:v>
                </c:pt>
                <c:pt idx="4">
                  <c:v>5.666666666666667</c:v>
                </c:pt>
                <c:pt idx="5">
                  <c:v>6</c:v>
                </c:pt>
              </c:numCache>
            </c:numRef>
          </c:val>
          <c:extLst>
            <c:ext xmlns:c16="http://schemas.microsoft.com/office/drawing/2014/chart" uri="{C3380CC4-5D6E-409C-BE32-E72D297353CC}">
              <c16:uniqueId val="{00000001-AAC8-4DB4-9BF9-F26EA1BF9354}"/>
            </c:ext>
          </c:extLst>
        </c:ser>
        <c:ser>
          <c:idx val="2"/>
          <c:order val="2"/>
          <c:tx>
            <c:strRef>
              <c:f>'PQ Criteria'!$E$11</c:f>
              <c:strCache>
                <c:ptCount val="1"/>
                <c:pt idx="0">
                  <c:v>VF6NP</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extLst>
                <c:ext xmlns:c15="http://schemas.microsoft.com/office/drawing/2012/chart" uri="{02D57815-91ED-43cb-92C2-25804820EDAC}">
                  <c15:fullRef>
                    <c15:sqref>'PQ Criteria'!$B$12:$B$18</c15:sqref>
                  </c15:fullRef>
                </c:ext>
              </c:extLst>
              <c:f>'PQ Criteria'!$B$12:$B$17</c:f>
              <c:strCache>
                <c:ptCount val="6"/>
                <c:pt idx="0">
                  <c:v>Functionality</c:v>
                </c:pt>
                <c:pt idx="1">
                  <c:v>Aesthetics</c:v>
                </c:pt>
                <c:pt idx="2">
                  <c:v>Fit &amp; Finish</c:v>
                </c:pt>
                <c:pt idx="3">
                  <c:v>Touch &amp; Feel</c:v>
                </c:pt>
                <c:pt idx="4">
                  <c:v>Sound Quality</c:v>
                </c:pt>
                <c:pt idx="5">
                  <c:v>Harmony &amp; Authenticity</c:v>
                </c:pt>
              </c:strCache>
            </c:strRef>
          </c:cat>
          <c:val>
            <c:numRef>
              <c:extLst>
                <c:ext xmlns:c15="http://schemas.microsoft.com/office/drawing/2012/chart" uri="{02D57815-91ED-43cb-92C2-25804820EDAC}">
                  <c15:fullRef>
                    <c15:sqref>'PQ Criteria'!$E$12:$E$18</c15:sqref>
                  </c15:fullRef>
                </c:ext>
              </c:extLst>
              <c:f>'PQ Criteria'!$E$12:$E$17</c:f>
              <c:numCache>
                <c:formatCode>0.0</c:formatCode>
                <c:ptCount val="6"/>
                <c:pt idx="0">
                  <c:v>6.166666666666667</c:v>
                </c:pt>
                <c:pt idx="1">
                  <c:v>6.5</c:v>
                </c:pt>
                <c:pt idx="2">
                  <c:v>5.833333333333333</c:v>
                </c:pt>
                <c:pt idx="3">
                  <c:v>5.666666666666667</c:v>
                </c:pt>
                <c:pt idx="4">
                  <c:v>5.833333333333333</c:v>
                </c:pt>
                <c:pt idx="5">
                  <c:v>6.333333333333333</c:v>
                </c:pt>
              </c:numCache>
            </c:numRef>
          </c:val>
          <c:extLst>
            <c:ext xmlns:c16="http://schemas.microsoft.com/office/drawing/2014/chart" uri="{C3380CC4-5D6E-409C-BE32-E72D297353CC}">
              <c16:uniqueId val="{00000002-AAC8-4DB4-9BF9-F26EA1BF9354}"/>
            </c:ext>
          </c:extLst>
        </c:ser>
        <c:dLbls>
          <c:showLegendKey val="0"/>
          <c:showVal val="0"/>
          <c:showCatName val="0"/>
          <c:showSerName val="0"/>
          <c:showPercent val="0"/>
          <c:showBubbleSize val="0"/>
        </c:dLbls>
        <c:axId val="1120309791"/>
        <c:axId val="1120303071"/>
      </c:radarChart>
      <c:catAx>
        <c:axId val="112030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120303071"/>
        <c:crosses val="autoZero"/>
        <c:auto val="1"/>
        <c:lblAlgn val="ctr"/>
        <c:lblOffset val="100"/>
        <c:noMultiLvlLbl val="0"/>
      </c:catAx>
      <c:valAx>
        <c:axId val="1120303071"/>
        <c:scaling>
          <c:logBase val="10"/>
          <c:orientation val="minMax"/>
          <c:max val="7"/>
          <c:min val="4"/>
        </c:scaling>
        <c:delete val="0"/>
        <c:axPos val="l"/>
        <c:majorGridlines>
          <c:spPr>
            <a:ln w="9525" cap="flat" cmpd="sng" algn="ctr">
              <a:solidFill>
                <a:schemeClr val="tx1">
                  <a:lumMod val="15000"/>
                  <a:lumOff val="85000"/>
                </a:schemeClr>
              </a:solidFill>
              <a:round/>
            </a:ln>
            <a:effectLst/>
          </c:spPr>
        </c:majorGridlines>
        <c:numFmt formatCode="0.0" sourceLinked="1"/>
        <c:majorTickMark val="cross"/>
        <c:minorTickMark val="cross"/>
        <c:tickLblPos val="high"/>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309791"/>
        <c:crosses val="autoZero"/>
        <c:crossBetween val="between"/>
        <c:majorUnit val="1"/>
        <c:minorUnit val="1"/>
      </c:valAx>
      <c:spPr>
        <a:noFill/>
        <a:ln>
          <a:noFill/>
        </a:ln>
        <a:effectLst/>
      </c:spPr>
    </c:plotArea>
    <c:legend>
      <c:legendPos val="t"/>
      <c:layout>
        <c:manualLayout>
          <c:xMode val="edge"/>
          <c:yMode val="edge"/>
          <c:x val="0.388702741944491"/>
          <c:y val="6.9767146235981278E-2"/>
          <c:w val="0.30364805463146893"/>
          <c:h val="4.253337897980144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 PQ FC gate Interior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strRef>
              <c:f>'PQ Criteria'!$C$21</c:f>
              <c:strCache>
                <c:ptCount val="1"/>
                <c:pt idx="0">
                  <c:v>BYD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extLst>
                <c:ext xmlns:c15="http://schemas.microsoft.com/office/drawing/2012/chart" uri="{02D57815-91ED-43cb-92C2-25804820EDAC}">
                  <c15:fullRef>
                    <c15:sqref>'PQ Criteria'!$B$22:$B$28</c15:sqref>
                  </c15:fullRef>
                </c:ext>
              </c:extLst>
              <c:f>'PQ Criteria'!$B$22:$B$27</c:f>
              <c:strCache>
                <c:ptCount val="6"/>
                <c:pt idx="0">
                  <c:v>Functionality</c:v>
                </c:pt>
                <c:pt idx="1">
                  <c:v>Aesthetics</c:v>
                </c:pt>
                <c:pt idx="2">
                  <c:v>Fit &amp; Finish</c:v>
                </c:pt>
                <c:pt idx="3">
                  <c:v>Touch &amp; Feel</c:v>
                </c:pt>
                <c:pt idx="4">
                  <c:v>Sound Quality</c:v>
                </c:pt>
                <c:pt idx="5">
                  <c:v>Harmony &amp; Authenticity</c:v>
                </c:pt>
              </c:strCache>
            </c:strRef>
          </c:cat>
          <c:val>
            <c:numRef>
              <c:extLst>
                <c:ext xmlns:c15="http://schemas.microsoft.com/office/drawing/2012/chart" uri="{02D57815-91ED-43cb-92C2-25804820EDAC}">
                  <c15:fullRef>
                    <c15:sqref>'PQ Criteria'!$C$22:$C$28</c15:sqref>
                  </c15:fullRef>
                </c:ext>
              </c:extLst>
              <c:f>'PQ Criteria'!$C$22:$C$27</c:f>
              <c:numCache>
                <c:formatCode>0.0</c:formatCode>
                <c:ptCount val="6"/>
                <c:pt idx="0">
                  <c:v>7</c:v>
                </c:pt>
                <c:pt idx="1">
                  <c:v>7.1111111111111107</c:v>
                </c:pt>
                <c:pt idx="2">
                  <c:v>7.1111111111111107</c:v>
                </c:pt>
                <c:pt idx="3">
                  <c:v>7.1111111111111107</c:v>
                </c:pt>
                <c:pt idx="4">
                  <c:v>6.2222222222222223</c:v>
                </c:pt>
                <c:pt idx="5">
                  <c:v>7.2222222222222223</c:v>
                </c:pt>
              </c:numCache>
            </c:numRef>
          </c:val>
          <c:extLst>
            <c:ext xmlns:c16="http://schemas.microsoft.com/office/drawing/2014/chart" uri="{C3380CC4-5D6E-409C-BE32-E72D297353CC}">
              <c16:uniqueId val="{00000000-664F-46DB-B431-68E5C21EB517}"/>
            </c:ext>
          </c:extLst>
        </c:ser>
        <c:ser>
          <c:idx val="1"/>
          <c:order val="1"/>
          <c:tx>
            <c:strRef>
              <c:f>'PQ Criteria'!$D$21</c:f>
              <c:strCache>
                <c:ptCount val="1"/>
                <c:pt idx="0">
                  <c:v>VF6</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extLst>
                <c:ext xmlns:c15="http://schemas.microsoft.com/office/drawing/2012/chart" uri="{02D57815-91ED-43cb-92C2-25804820EDAC}">
                  <c15:fullRef>
                    <c15:sqref>'PQ Criteria'!$B$22:$B$28</c15:sqref>
                  </c15:fullRef>
                </c:ext>
              </c:extLst>
              <c:f>'PQ Criteria'!$B$22:$B$27</c:f>
              <c:strCache>
                <c:ptCount val="6"/>
                <c:pt idx="0">
                  <c:v>Functionality</c:v>
                </c:pt>
                <c:pt idx="1">
                  <c:v>Aesthetics</c:v>
                </c:pt>
                <c:pt idx="2">
                  <c:v>Fit &amp; Finish</c:v>
                </c:pt>
                <c:pt idx="3">
                  <c:v>Touch &amp; Feel</c:v>
                </c:pt>
                <c:pt idx="4">
                  <c:v>Sound Quality</c:v>
                </c:pt>
                <c:pt idx="5">
                  <c:v>Harmony &amp; Authenticity</c:v>
                </c:pt>
              </c:strCache>
            </c:strRef>
          </c:cat>
          <c:val>
            <c:numRef>
              <c:extLst>
                <c:ext xmlns:c15="http://schemas.microsoft.com/office/drawing/2012/chart" uri="{02D57815-91ED-43cb-92C2-25804820EDAC}">
                  <c15:fullRef>
                    <c15:sqref>'PQ Criteria'!$D$22:$D$28</c15:sqref>
                  </c15:fullRef>
                </c:ext>
              </c:extLst>
              <c:f>'PQ Criteria'!$D$22:$D$27</c:f>
              <c:numCache>
                <c:formatCode>0.0</c:formatCode>
                <c:ptCount val="6"/>
                <c:pt idx="0">
                  <c:v>5.333333333333333</c:v>
                </c:pt>
                <c:pt idx="1">
                  <c:v>6</c:v>
                </c:pt>
                <c:pt idx="2">
                  <c:v>5.7777777777777777</c:v>
                </c:pt>
                <c:pt idx="3">
                  <c:v>6</c:v>
                </c:pt>
                <c:pt idx="4">
                  <c:v>5.7777777777777777</c:v>
                </c:pt>
                <c:pt idx="5">
                  <c:v>6</c:v>
                </c:pt>
              </c:numCache>
            </c:numRef>
          </c:val>
          <c:extLst>
            <c:ext xmlns:c16="http://schemas.microsoft.com/office/drawing/2014/chart" uri="{C3380CC4-5D6E-409C-BE32-E72D297353CC}">
              <c16:uniqueId val="{00000001-664F-46DB-B431-68E5C21EB517}"/>
            </c:ext>
          </c:extLst>
        </c:ser>
        <c:ser>
          <c:idx val="2"/>
          <c:order val="2"/>
          <c:tx>
            <c:strRef>
              <c:f>'PQ Criteria'!$E$21</c:f>
              <c:strCache>
                <c:ptCount val="1"/>
                <c:pt idx="0">
                  <c:v>VF6NP</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extLst>
                <c:ext xmlns:c15="http://schemas.microsoft.com/office/drawing/2012/chart" uri="{02D57815-91ED-43cb-92C2-25804820EDAC}">
                  <c15:fullRef>
                    <c15:sqref>'PQ Criteria'!$B$22:$B$28</c15:sqref>
                  </c15:fullRef>
                </c:ext>
              </c:extLst>
              <c:f>'PQ Criteria'!$B$22:$B$27</c:f>
              <c:strCache>
                <c:ptCount val="6"/>
                <c:pt idx="0">
                  <c:v>Functionality</c:v>
                </c:pt>
                <c:pt idx="1">
                  <c:v>Aesthetics</c:v>
                </c:pt>
                <c:pt idx="2">
                  <c:v>Fit &amp; Finish</c:v>
                </c:pt>
                <c:pt idx="3">
                  <c:v>Touch &amp; Feel</c:v>
                </c:pt>
                <c:pt idx="4">
                  <c:v>Sound Quality</c:v>
                </c:pt>
                <c:pt idx="5">
                  <c:v>Harmony &amp; Authenticity</c:v>
                </c:pt>
              </c:strCache>
            </c:strRef>
          </c:cat>
          <c:val>
            <c:numRef>
              <c:extLst>
                <c:ext xmlns:c15="http://schemas.microsoft.com/office/drawing/2012/chart" uri="{02D57815-91ED-43cb-92C2-25804820EDAC}">
                  <c15:fullRef>
                    <c15:sqref>'PQ Criteria'!$E$22:$E$28</c15:sqref>
                  </c15:fullRef>
                </c:ext>
              </c:extLst>
              <c:f>'PQ Criteria'!$E$22:$E$27</c:f>
              <c:numCache>
                <c:formatCode>0.0</c:formatCode>
                <c:ptCount val="6"/>
                <c:pt idx="0">
                  <c:v>7.333333333333333</c:v>
                </c:pt>
                <c:pt idx="1">
                  <c:v>7.333333333333333</c:v>
                </c:pt>
                <c:pt idx="2">
                  <c:v>8</c:v>
                </c:pt>
                <c:pt idx="3">
                  <c:v>6.7777777777777777</c:v>
                </c:pt>
                <c:pt idx="4">
                  <c:v>6.333333333333333</c:v>
                </c:pt>
                <c:pt idx="5">
                  <c:v>7.333333333333333</c:v>
                </c:pt>
              </c:numCache>
            </c:numRef>
          </c:val>
          <c:extLst>
            <c:ext xmlns:c16="http://schemas.microsoft.com/office/drawing/2014/chart" uri="{C3380CC4-5D6E-409C-BE32-E72D297353CC}">
              <c16:uniqueId val="{00000002-664F-46DB-B431-68E5C21EB517}"/>
            </c:ext>
          </c:extLst>
        </c:ser>
        <c:dLbls>
          <c:showLegendKey val="0"/>
          <c:showVal val="0"/>
          <c:showCatName val="0"/>
          <c:showSerName val="0"/>
          <c:showPercent val="0"/>
          <c:showBubbleSize val="0"/>
        </c:dLbls>
        <c:axId val="216417088"/>
        <c:axId val="216412288"/>
      </c:radarChart>
      <c:catAx>
        <c:axId val="216417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216412288"/>
        <c:crosses val="autoZero"/>
        <c:auto val="1"/>
        <c:lblAlgn val="ctr"/>
        <c:lblOffset val="100"/>
        <c:noMultiLvlLbl val="0"/>
      </c:catAx>
      <c:valAx>
        <c:axId val="216412288"/>
        <c:scaling>
          <c:logBase val="10"/>
          <c:orientation val="minMax"/>
          <c:max val="8.5"/>
          <c:min val="4"/>
        </c:scaling>
        <c:delete val="0"/>
        <c:axPos val="l"/>
        <c:majorGridlines>
          <c:spPr>
            <a:ln w="9525" cap="flat" cmpd="sng" algn="ctr">
              <a:solidFill>
                <a:schemeClr val="tx1">
                  <a:lumMod val="15000"/>
                  <a:lumOff val="85000"/>
                </a:schemeClr>
              </a:solidFill>
              <a:round/>
            </a:ln>
            <a:effectLst/>
          </c:spPr>
        </c:majorGridlines>
        <c:numFmt formatCode="0.0" sourceLinked="1"/>
        <c:majorTickMark val="in"/>
        <c:minorTickMark val="cross"/>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417088"/>
        <c:crosses val="autoZero"/>
        <c:crossBetween val="between"/>
        <c:majorUnit val="1"/>
        <c:minorUnit val="1"/>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2400" b="1"/>
              <a:t> PQ 7 Criteria FC gate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strRef>
              <c:f>'PQ Criteria'!$C$1</c:f>
              <c:strCache>
                <c:ptCount val="1"/>
                <c:pt idx="0">
                  <c:v>BYD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'PQ Criteria'!$B$2:$B$7</c:f>
              <c:strCache>
                <c:ptCount val="6"/>
                <c:pt idx="0">
                  <c:v>Functionality</c:v>
                </c:pt>
                <c:pt idx="1">
                  <c:v>Aesthetics</c:v>
                </c:pt>
                <c:pt idx="2">
                  <c:v>Fit &amp; Finish</c:v>
                </c:pt>
                <c:pt idx="3">
                  <c:v>Touch &amp; Feel</c:v>
                </c:pt>
                <c:pt idx="4">
                  <c:v>Sound Quality</c:v>
                </c:pt>
                <c:pt idx="5">
                  <c:v>Harmony &amp; Authenticity</c:v>
                </c:pt>
              </c:strCache>
            </c:strRef>
          </c:cat>
          <c:val>
            <c:numRef>
              <c:f>'PQ Criteria'!$C$2:$C$7</c:f>
              <c:numCache>
                <c:formatCode>0.0</c:formatCode>
                <c:ptCount val="6"/>
                <c:pt idx="0">
                  <c:v>6.7142857142857144</c:v>
                </c:pt>
                <c:pt idx="1">
                  <c:v>6.666666666666667</c:v>
                </c:pt>
                <c:pt idx="2">
                  <c:v>6.6</c:v>
                </c:pt>
                <c:pt idx="3">
                  <c:v>6.666666666666667</c:v>
                </c:pt>
                <c:pt idx="4">
                  <c:v>6.1333333333333337</c:v>
                </c:pt>
                <c:pt idx="5">
                  <c:v>6.7333333333333334</c:v>
                </c:pt>
              </c:numCache>
            </c:numRef>
          </c:val>
          <c:extLst>
            <c:ext xmlns:c16="http://schemas.microsoft.com/office/drawing/2014/chart" uri="{C3380CC4-5D6E-409C-BE32-E72D297353CC}">
              <c16:uniqueId val="{00000000-AB34-4DF0-8066-C271AA14016C}"/>
            </c:ext>
          </c:extLst>
        </c:ser>
        <c:ser>
          <c:idx val="1"/>
          <c:order val="1"/>
          <c:tx>
            <c:strRef>
              <c:f>'PQ Criteria'!$D$1</c:f>
              <c:strCache>
                <c:ptCount val="1"/>
                <c:pt idx="0">
                  <c:v>VF6</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'PQ Criteria'!$B$2:$B$7</c:f>
              <c:strCache>
                <c:ptCount val="6"/>
                <c:pt idx="0">
                  <c:v>Functionality</c:v>
                </c:pt>
                <c:pt idx="1">
                  <c:v>Aesthetics</c:v>
                </c:pt>
                <c:pt idx="2">
                  <c:v>Fit &amp; Finish</c:v>
                </c:pt>
                <c:pt idx="3">
                  <c:v>Touch &amp; Feel</c:v>
                </c:pt>
                <c:pt idx="4">
                  <c:v>Sound Quality</c:v>
                </c:pt>
                <c:pt idx="5">
                  <c:v>Harmony &amp; Authenticity</c:v>
                </c:pt>
              </c:strCache>
            </c:strRef>
          </c:cat>
          <c:val>
            <c:numRef>
              <c:f>'PQ Criteria'!$D$2:$D$7</c:f>
              <c:numCache>
                <c:formatCode>0.0</c:formatCode>
                <c:ptCount val="6"/>
                <c:pt idx="0">
                  <c:v>5.7142857142857144</c:v>
                </c:pt>
                <c:pt idx="1">
                  <c:v>5.9333333333333336</c:v>
                </c:pt>
                <c:pt idx="2">
                  <c:v>5.5333333333333332</c:v>
                </c:pt>
                <c:pt idx="3">
                  <c:v>5.8</c:v>
                </c:pt>
                <c:pt idx="4">
                  <c:v>5.7333333333333334</c:v>
                </c:pt>
                <c:pt idx="5">
                  <c:v>6</c:v>
                </c:pt>
              </c:numCache>
            </c:numRef>
          </c:val>
          <c:extLst>
            <c:ext xmlns:c16="http://schemas.microsoft.com/office/drawing/2014/chart" uri="{C3380CC4-5D6E-409C-BE32-E72D297353CC}">
              <c16:uniqueId val="{00000001-AB34-4DF0-8066-C271AA14016C}"/>
            </c:ext>
          </c:extLst>
        </c:ser>
        <c:ser>
          <c:idx val="2"/>
          <c:order val="2"/>
          <c:tx>
            <c:strRef>
              <c:f>'PQ Criteria'!$E$1</c:f>
              <c:strCache>
                <c:ptCount val="1"/>
                <c:pt idx="0">
                  <c:v>VF6NP</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'PQ Criteria'!$B$2:$B$7</c:f>
              <c:strCache>
                <c:ptCount val="6"/>
                <c:pt idx="0">
                  <c:v>Functionality</c:v>
                </c:pt>
                <c:pt idx="1">
                  <c:v>Aesthetics</c:v>
                </c:pt>
                <c:pt idx="2">
                  <c:v>Fit &amp; Finish</c:v>
                </c:pt>
                <c:pt idx="3">
                  <c:v>Touch &amp; Feel</c:v>
                </c:pt>
                <c:pt idx="4">
                  <c:v>Sound Quality</c:v>
                </c:pt>
                <c:pt idx="5">
                  <c:v>Harmony &amp; Authenticity</c:v>
                </c:pt>
              </c:strCache>
            </c:strRef>
          </c:cat>
          <c:val>
            <c:numRef>
              <c:f>'PQ Criteria'!$E$2:$E$7</c:f>
              <c:numCache>
                <c:formatCode>0.0</c:formatCode>
                <c:ptCount val="6"/>
                <c:pt idx="0">
                  <c:v>6.9047619047619051</c:v>
                </c:pt>
                <c:pt idx="1">
                  <c:v>7</c:v>
                </c:pt>
                <c:pt idx="2">
                  <c:v>7.1333333333333337</c:v>
                </c:pt>
                <c:pt idx="3">
                  <c:v>6.333333333333333</c:v>
                </c:pt>
                <c:pt idx="4">
                  <c:v>6.1333333333333337</c:v>
                </c:pt>
                <c:pt idx="5">
                  <c:v>6.9333333333333336</c:v>
                </c:pt>
              </c:numCache>
            </c:numRef>
          </c:val>
          <c:extLst>
            <c:ext xmlns:c16="http://schemas.microsoft.com/office/drawing/2014/chart" uri="{C3380CC4-5D6E-409C-BE32-E72D297353CC}">
              <c16:uniqueId val="{00000002-AB34-4DF0-8066-C271AA14016C}"/>
            </c:ext>
          </c:extLst>
        </c:ser>
        <c:dLbls>
          <c:showLegendKey val="0"/>
          <c:showVal val="0"/>
          <c:showCatName val="0"/>
          <c:showSerName val="0"/>
          <c:showPercent val="0"/>
          <c:showBubbleSize val="0"/>
        </c:dLbls>
        <c:axId val="36108511"/>
        <c:axId val="36122431"/>
      </c:radarChart>
      <c:catAx>
        <c:axId val="36108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36122431"/>
        <c:crosses val="autoZero"/>
        <c:auto val="1"/>
        <c:lblAlgn val="ctr"/>
        <c:lblOffset val="100"/>
        <c:noMultiLvlLbl val="0"/>
      </c:catAx>
      <c:valAx>
        <c:axId val="36122431"/>
        <c:scaling>
          <c:logBase val="8"/>
          <c:orientation val="minMax"/>
          <c:min val="4"/>
        </c:scaling>
        <c:delete val="0"/>
        <c:axPos val="l"/>
        <c:majorGridlines>
          <c:spPr>
            <a:ln w="9525" cap="flat" cmpd="sng" algn="ctr">
              <a:solidFill>
                <a:schemeClr val="tx1">
                  <a:lumMod val="15000"/>
                  <a:lumOff val="85000"/>
                </a:schemeClr>
              </a:solidFill>
              <a:round/>
            </a:ln>
            <a:effectLst/>
          </c:spPr>
        </c:majorGridlines>
        <c:numFmt formatCode="0.0" sourceLinked="1"/>
        <c:majorTickMark val="cross"/>
        <c:minorTickMark val="cross"/>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08511"/>
        <c:crosses val="autoZero"/>
        <c:crossBetween val="between"/>
        <c:majorUnit val="1"/>
        <c:minorUnit val="1"/>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VF6NP PQ FC gate Module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strRef>
              <c:f>'PQ Criteria'!$C$31</c:f>
              <c:strCache>
                <c:ptCount val="1"/>
                <c:pt idx="0">
                  <c:v>BYD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'PQ Criteria'!$B$32:$B$46</c:f>
              <c:strCache>
                <c:ptCount val="15"/>
                <c:pt idx="0">
                  <c:v>Body</c:v>
                </c:pt>
                <c:pt idx="1">
                  <c:v>Doors &amp; Closures</c:v>
                </c:pt>
                <c:pt idx="2">
                  <c:v>Lighting</c:v>
                </c:pt>
                <c:pt idx="3">
                  <c:v>Glass &amp; Wiper</c:v>
                </c:pt>
                <c:pt idx="4">
                  <c:v>Exterior Trim</c:v>
                </c:pt>
                <c:pt idx="5">
                  <c:v>Wheel/Wheel cover /Rim</c:v>
                </c:pt>
                <c:pt idx="6">
                  <c:v>Instrument Panel</c:v>
                </c:pt>
                <c:pt idx="7">
                  <c:v>Steering Wheel</c:v>
                </c:pt>
                <c:pt idx="8">
                  <c:v>Console</c:v>
                </c:pt>
                <c:pt idx="9">
                  <c:v>Door Trim</c:v>
                </c:pt>
                <c:pt idx="10">
                  <c:v>Seats</c:v>
                </c:pt>
                <c:pt idx="11">
                  <c:v>HVAC</c:v>
                </c:pt>
                <c:pt idx="12">
                  <c:v>Infotainment</c:v>
                </c:pt>
                <c:pt idx="13">
                  <c:v>Interior Lighting</c:v>
                </c:pt>
                <c:pt idx="14">
                  <c:v>Key &amp; Entry</c:v>
                </c:pt>
              </c:strCache>
            </c:strRef>
          </c:cat>
          <c:val>
            <c:numRef>
              <c:f>'PQ Criteria'!$C$32:$C$46</c:f>
              <c:numCache>
                <c:formatCode>0.0</c:formatCode>
                <c:ptCount val="15"/>
                <c:pt idx="0">
                  <c:v>6</c:v>
                </c:pt>
                <c:pt idx="1">
                  <c:v>6</c:v>
                </c:pt>
                <c:pt idx="2">
                  <c:v>6</c:v>
                </c:pt>
                <c:pt idx="3">
                  <c:v>5.666666666666667</c:v>
                </c:pt>
                <c:pt idx="4">
                  <c:v>6</c:v>
                </c:pt>
                <c:pt idx="5">
                  <c:v>6</c:v>
                </c:pt>
                <c:pt idx="6">
                  <c:v>7</c:v>
                </c:pt>
                <c:pt idx="7">
                  <c:v>7</c:v>
                </c:pt>
                <c:pt idx="8">
                  <c:v>7</c:v>
                </c:pt>
                <c:pt idx="9">
                  <c:v>7.166666666666667</c:v>
                </c:pt>
                <c:pt idx="10">
                  <c:v>7.333333333333333</c:v>
                </c:pt>
                <c:pt idx="11">
                  <c:v>7.166666666666667</c:v>
                </c:pt>
                <c:pt idx="12">
                  <c:v>6.833333333333333</c:v>
                </c:pt>
                <c:pt idx="13">
                  <c:v>7.166666666666667</c:v>
                </c:pt>
                <c:pt idx="14">
                  <c:v>6</c:v>
                </c:pt>
              </c:numCache>
            </c:numRef>
          </c:val>
          <c:extLst>
            <c:ext xmlns:c16="http://schemas.microsoft.com/office/drawing/2014/chart" uri="{C3380CC4-5D6E-409C-BE32-E72D297353CC}">
              <c16:uniqueId val="{00000000-9581-45EF-962D-C8E303BF8F1B}"/>
            </c:ext>
          </c:extLst>
        </c:ser>
        <c:ser>
          <c:idx val="1"/>
          <c:order val="1"/>
          <c:tx>
            <c:strRef>
              <c:f>'PQ Criteria'!$D$31</c:f>
              <c:strCache>
                <c:ptCount val="1"/>
                <c:pt idx="0">
                  <c:v>VF6</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'PQ Criteria'!$B$32:$B$46</c:f>
              <c:strCache>
                <c:ptCount val="15"/>
                <c:pt idx="0">
                  <c:v>Body</c:v>
                </c:pt>
                <c:pt idx="1">
                  <c:v>Doors &amp; Closures</c:v>
                </c:pt>
                <c:pt idx="2">
                  <c:v>Lighting</c:v>
                </c:pt>
                <c:pt idx="3">
                  <c:v>Glass &amp; Wiper</c:v>
                </c:pt>
                <c:pt idx="4">
                  <c:v>Exterior Trim</c:v>
                </c:pt>
                <c:pt idx="5">
                  <c:v>Wheel/Wheel cover /Rim</c:v>
                </c:pt>
                <c:pt idx="6">
                  <c:v>Instrument Panel</c:v>
                </c:pt>
                <c:pt idx="7">
                  <c:v>Steering Wheel</c:v>
                </c:pt>
                <c:pt idx="8">
                  <c:v>Console</c:v>
                </c:pt>
                <c:pt idx="9">
                  <c:v>Door Trim</c:v>
                </c:pt>
                <c:pt idx="10">
                  <c:v>Seats</c:v>
                </c:pt>
                <c:pt idx="11">
                  <c:v>HVAC</c:v>
                </c:pt>
                <c:pt idx="12">
                  <c:v>Infotainment</c:v>
                </c:pt>
                <c:pt idx="13">
                  <c:v>Interior Lighting</c:v>
                </c:pt>
                <c:pt idx="14">
                  <c:v>Key &amp; Entry</c:v>
                </c:pt>
              </c:strCache>
            </c:strRef>
          </c:cat>
          <c:val>
            <c:numRef>
              <c:f>'PQ Criteria'!$D$32:$D$46</c:f>
              <c:numCache>
                <c:formatCode>0.0</c:formatCode>
                <c:ptCount val="15"/>
                <c:pt idx="0">
                  <c:v>5.666666666666667</c:v>
                </c:pt>
                <c:pt idx="1">
                  <c:v>5.5</c:v>
                </c:pt>
                <c:pt idx="2">
                  <c:v>5.833333333333333</c:v>
                </c:pt>
                <c:pt idx="3">
                  <c:v>5.666666666666667</c:v>
                </c:pt>
                <c:pt idx="4">
                  <c:v>5.5</c:v>
                </c:pt>
                <c:pt idx="5">
                  <c:v>6</c:v>
                </c:pt>
                <c:pt idx="6">
                  <c:v>5.5</c:v>
                </c:pt>
                <c:pt idx="7">
                  <c:v>6.5</c:v>
                </c:pt>
                <c:pt idx="8">
                  <c:v>5.333333333333333</c:v>
                </c:pt>
                <c:pt idx="9">
                  <c:v>5.5</c:v>
                </c:pt>
                <c:pt idx="10">
                  <c:v>6</c:v>
                </c:pt>
                <c:pt idx="11">
                  <c:v>5.833333333333333</c:v>
                </c:pt>
                <c:pt idx="12">
                  <c:v>5.833333333333333</c:v>
                </c:pt>
                <c:pt idx="13">
                  <c:v>5.833333333333333</c:v>
                </c:pt>
                <c:pt idx="14">
                  <c:v>6</c:v>
                </c:pt>
              </c:numCache>
            </c:numRef>
          </c:val>
          <c:extLst>
            <c:ext xmlns:c16="http://schemas.microsoft.com/office/drawing/2014/chart" uri="{C3380CC4-5D6E-409C-BE32-E72D297353CC}">
              <c16:uniqueId val="{00000001-9581-45EF-962D-C8E303BF8F1B}"/>
            </c:ext>
          </c:extLst>
        </c:ser>
        <c:ser>
          <c:idx val="2"/>
          <c:order val="2"/>
          <c:tx>
            <c:strRef>
              <c:f>'PQ Criteria'!$E$31</c:f>
              <c:strCache>
                <c:ptCount val="1"/>
                <c:pt idx="0">
                  <c:v>VF6NP</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'PQ Criteria'!$B$32:$B$46</c:f>
              <c:strCache>
                <c:ptCount val="15"/>
                <c:pt idx="0">
                  <c:v>Body</c:v>
                </c:pt>
                <c:pt idx="1">
                  <c:v>Doors &amp; Closures</c:v>
                </c:pt>
                <c:pt idx="2">
                  <c:v>Lighting</c:v>
                </c:pt>
                <c:pt idx="3">
                  <c:v>Glass &amp; Wiper</c:v>
                </c:pt>
                <c:pt idx="4">
                  <c:v>Exterior Trim</c:v>
                </c:pt>
                <c:pt idx="5">
                  <c:v>Wheel/Wheel cover /Rim</c:v>
                </c:pt>
                <c:pt idx="6">
                  <c:v>Instrument Panel</c:v>
                </c:pt>
                <c:pt idx="7">
                  <c:v>Steering Wheel</c:v>
                </c:pt>
                <c:pt idx="8">
                  <c:v>Console</c:v>
                </c:pt>
                <c:pt idx="9">
                  <c:v>Door Trim</c:v>
                </c:pt>
                <c:pt idx="10">
                  <c:v>Seats</c:v>
                </c:pt>
                <c:pt idx="11">
                  <c:v>HVAC</c:v>
                </c:pt>
                <c:pt idx="12">
                  <c:v>Infotainment</c:v>
                </c:pt>
                <c:pt idx="13">
                  <c:v>Interior Lighting</c:v>
                </c:pt>
                <c:pt idx="14">
                  <c:v>Key &amp; Entry</c:v>
                </c:pt>
              </c:strCache>
            </c:strRef>
          </c:cat>
          <c:val>
            <c:numRef>
              <c:f>'PQ Criteria'!$E$32:$E$46</c:f>
              <c:numCache>
                <c:formatCode>0.0</c:formatCode>
                <c:ptCount val="15"/>
                <c:pt idx="0">
                  <c:v>5.666666666666667</c:v>
                </c:pt>
                <c:pt idx="1">
                  <c:v>5.833333333333333</c:v>
                </c:pt>
                <c:pt idx="2">
                  <c:v>6.5</c:v>
                </c:pt>
                <c:pt idx="3">
                  <c:v>5.666666666666667</c:v>
                </c:pt>
                <c:pt idx="4">
                  <c:v>6.333333333333333</c:v>
                </c:pt>
                <c:pt idx="5">
                  <c:v>6.333333333333333</c:v>
                </c:pt>
                <c:pt idx="6">
                  <c:v>8</c:v>
                </c:pt>
                <c:pt idx="7">
                  <c:v>7.333333333333333</c:v>
                </c:pt>
                <c:pt idx="8">
                  <c:v>7.5</c:v>
                </c:pt>
                <c:pt idx="9">
                  <c:v>7.5</c:v>
                </c:pt>
                <c:pt idx="10">
                  <c:v>7.5</c:v>
                </c:pt>
                <c:pt idx="11">
                  <c:v>7.5</c:v>
                </c:pt>
                <c:pt idx="12">
                  <c:v>6.333333333333333</c:v>
                </c:pt>
                <c:pt idx="13">
                  <c:v>6.333333333333333</c:v>
                </c:pt>
                <c:pt idx="14">
                  <c:v>6.666666666666667</c:v>
                </c:pt>
              </c:numCache>
            </c:numRef>
          </c:val>
          <c:extLst>
            <c:ext xmlns:c16="http://schemas.microsoft.com/office/drawing/2014/chart" uri="{C3380CC4-5D6E-409C-BE32-E72D297353CC}">
              <c16:uniqueId val="{00000002-9581-45EF-962D-C8E303BF8F1B}"/>
            </c:ext>
          </c:extLst>
        </c:ser>
        <c:dLbls>
          <c:showLegendKey val="0"/>
          <c:showVal val="0"/>
          <c:showCatName val="0"/>
          <c:showSerName val="0"/>
          <c:showPercent val="0"/>
          <c:showBubbleSize val="0"/>
        </c:dLbls>
        <c:axId val="216417088"/>
        <c:axId val="216412288"/>
      </c:radarChart>
      <c:catAx>
        <c:axId val="216417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216412288"/>
        <c:crosses val="autoZero"/>
        <c:auto val="1"/>
        <c:lblAlgn val="ctr"/>
        <c:lblOffset val="100"/>
        <c:noMultiLvlLbl val="0"/>
      </c:catAx>
      <c:valAx>
        <c:axId val="216412288"/>
        <c:scaling>
          <c:logBase val="10"/>
          <c:orientation val="minMax"/>
          <c:max val="8"/>
          <c:min val="3"/>
        </c:scaling>
        <c:delete val="0"/>
        <c:axPos val="l"/>
        <c:majorGridlines>
          <c:spPr>
            <a:ln w="9525" cap="flat" cmpd="sng" algn="ctr">
              <a:solidFill>
                <a:schemeClr val="tx1">
                  <a:lumMod val="15000"/>
                  <a:lumOff val="85000"/>
                </a:schemeClr>
              </a:solidFill>
              <a:round/>
            </a:ln>
            <a:effectLst/>
          </c:spPr>
        </c:majorGridlines>
        <c:numFmt formatCode="0.0" sourceLinked="1"/>
        <c:majorTickMark val="in"/>
        <c:minorTickMark val="cross"/>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417088"/>
        <c:crosses val="autoZero"/>
        <c:crossBetween val="between"/>
        <c:majorUnit val="1"/>
        <c:minorUnit val="1"/>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17</xdr:col>
      <xdr:colOff>492125</xdr:colOff>
      <xdr:row>0</xdr:row>
      <xdr:rowOff>111125</xdr:rowOff>
    </xdr:from>
    <xdr:to>
      <xdr:col>28</xdr:col>
      <xdr:colOff>53975</xdr:colOff>
      <xdr:row>25</xdr:row>
      <xdr:rowOff>85725</xdr:rowOff>
    </xdr:to>
    <xdr:graphicFrame macro="">
      <xdr:nvGraphicFramePr>
        <xdr:cNvPr id="4" name="Chart 2">
          <a:extLst>
            <a:ext uri="{FF2B5EF4-FFF2-40B4-BE49-F238E27FC236}">
              <a16:creationId xmlns:a16="http://schemas.microsoft.com/office/drawing/2014/main" id="{4A0EBB56-98EA-8398-A539-AEFF9AC861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257174</xdr:colOff>
      <xdr:row>25</xdr:row>
      <xdr:rowOff>96838</xdr:rowOff>
    </xdr:from>
    <xdr:to>
      <xdr:col>17</xdr:col>
      <xdr:colOff>323850</xdr:colOff>
      <xdr:row>47</xdr:row>
      <xdr:rowOff>156883</xdr:rowOff>
    </xdr:to>
    <xdr:graphicFrame macro="">
      <xdr:nvGraphicFramePr>
        <xdr:cNvPr id="7" name="Chart 4">
          <a:extLst>
            <a:ext uri="{FF2B5EF4-FFF2-40B4-BE49-F238E27FC236}">
              <a16:creationId xmlns:a16="http://schemas.microsoft.com/office/drawing/2014/main" id="{8EC526B5-0686-AB38-56B0-EAF4CF2436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271742</xdr:colOff>
      <xdr:row>0</xdr:row>
      <xdr:rowOff>114392</xdr:rowOff>
    </xdr:from>
    <xdr:to>
      <xdr:col>17</xdr:col>
      <xdr:colOff>376517</xdr:colOff>
      <xdr:row>25</xdr:row>
      <xdr:rowOff>33430</xdr:rowOff>
    </xdr:to>
    <xdr:graphicFrame macro="">
      <xdr:nvGraphicFramePr>
        <xdr:cNvPr id="2" name="Chart 5">
          <a:extLst>
            <a:ext uri="{FF2B5EF4-FFF2-40B4-BE49-F238E27FC236}">
              <a16:creationId xmlns:a16="http://schemas.microsoft.com/office/drawing/2014/main" id="{2707E173-3AD6-32B5-A453-C52E86C983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0</xdr:colOff>
      <xdr:row>26</xdr:row>
      <xdr:rowOff>0</xdr:rowOff>
    </xdr:from>
    <xdr:to>
      <xdr:col>29</xdr:col>
      <xdr:colOff>71438</xdr:colOff>
      <xdr:row>52</xdr:row>
      <xdr:rowOff>154782</xdr:rowOff>
    </xdr:to>
    <xdr:graphicFrame macro="">
      <xdr:nvGraphicFramePr>
        <xdr:cNvPr id="35" name="Chart 6">
          <a:extLst>
            <a:ext uri="{FF2B5EF4-FFF2-40B4-BE49-F238E27FC236}">
              <a16:creationId xmlns:a16="http://schemas.microsoft.com/office/drawing/2014/main" id="{6302F0F7-49C3-4EC2-B0C7-53C47908D8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mlpnewskc00852\QRDIV\DOCUME~1\SBJ322~1.TMI\LOCALS~1\Temp\Ashish\Budget\BC%20Rate\BO98-99BUDGE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mlpnewskc00852\QRDIV\DOCUME~1\SBJ322~1.TMI\LOCALS~1\Temp\windows\TEMP\HOBudget3a_26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DOCUME~1\SBJ322~1.TMI\LOCALS~1\Temp\Ashish\Budget\BC%20Rate\BO98-99BUDGE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tmlpnewskc00852\QRDIV\DOCUME~1\SBJ322~1.TMI\LOCALS~1\Temp\Expl%20Note\Final%20pages\P119-12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DOCUME~1\SBJ322~1.TMI\LOCALS~1\Temp\Expl%20Note\Final%20pages\P119-123.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DOCUME~1\SBJ322~1.TMI\LOCALS~1\Temp\windows\TEMP\HOBudget3a_260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GM.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72.22.99.16\eqa\Shishir\DFMEA\Exhaust\PCBU\manza%20CNG\Manza_CNG_Exhaust_%20DFMEA_SRK_29Nov2012_Karthik.xls" TargetMode="External"/></Relationships>
</file>

<file path=xl/externalLinks/_rels/externalLink9.xml.rels><?xml version="1.0" encoding="UTF-8" standalone="yes"?>
<Relationships xmlns="http://schemas.openxmlformats.org/package/2006/relationships"><Relationship Id="rId3" Type="http://schemas.openxmlformats.org/officeDocument/2006/relationships/externalLinkPath" Target="https://vingroupjsc.sharepoint.com/sites/VF_ATV/Shared%20Documents/Working%20Documents/4.%20Perceived%20Quality%20&amp;%20In%20plant%20Craftsmahip/001_PQ_GD&amp;T%20General/001_PQ%20Standard/001_PQ%20Guideline/PQ%20Audit%20Standard_Master%20file_20240326.xlsx" TargetMode="External"/><Relationship Id="rId2" Type="http://schemas.microsoft.com/office/2019/04/relationships/externalLinkLongPath" Target="/sites/VF_ATV/Shared%20Documents/Working%20Documents/4.%20Perceived%20Quality%20&amp;%20In%20plant%20Craftsmahip/001_PQ_GD&amp;T%20General/001_PQ%20Standard/001_PQ%20Guideline/PQ%20Audit%20Standard_Master%20file_20240326.xlsx?60159FC5" TargetMode="External"/><Relationship Id="rId1" Type="http://schemas.openxmlformats.org/officeDocument/2006/relationships/externalLinkPath" Target="file:///\\60159FC5\PQ%20Audit%20Standard_Master%20file_20240326.xlsx" TargetMode="External"/><Relationship Id="rId4" Type="http://schemas.openxmlformats.org/officeDocument/2006/relationships/externalLinkPath" Target="../../../../../../../VF_ATV/Shared%20Documents/Working%20Documents/4.%20Perceived%20Quality%20&amp;%20In%20plant%20Craftsmahip/001_PQ_GD&amp;T%20General/001_PQ%20Standard/001_PQ%20Guideline/PQ%20Audit%20Standard_Master%20file_20240326.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Pc1683\closing_01_0\CL_9900\Statements_(F).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ttp:\apollo.delphiauto.net\WINDOWS\Temporary%20Internet%20Files\Content.IE5\8HST45S5\fmea_form_generic_v3(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tmlpnewskc00852\QRDIV\DOCUME~1\SBJ322~1.TMI\LOCALS~1\Temp\windows\TEMP\indicaag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OCUME~1\SBJ322~1.TMI\LOCALS~1\Temp\windows\TEMP\indicaag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72.22.236.104\proj\DOCUME~1\SBJ322~1.TMI\LOCALS~1\Temp\Ashish\Budget\BC%20Rate\BO98-99BUDGET.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tmlpnewskc00604\QSR_Shared%20Folder_2\DOCUME~1\SBJ322~1.TMI\LOCALS~1\Temp\Ashish\Budget\BC%20Rate\BO98-99BUDGET.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I:\Data\Subjective%20Appraisals\Subjective%20Appraisal%20Result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72.22.99.16\eqa\proj\Documents%20and%20Settings\vss261831\Local%20Settings\Temporary%20Internet%20Files\OLK8B\Indica%20Vista%20TCIC%20BSIV%20Exhaust%20System_%20DFMEA_02%2009%200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R:\WINDOWS\Temporary%20Internet%20Files\Content.IE5\GDEF89YB\InterfaceMatrixBlank(1).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FMEA%20Template%20083104.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tmlpnewskc00852\QRDIV\DOCUME~1\SBJ322~1.TMI\LOCALS~1\Temp\VIJI's%20FILES\MATERIALS\expl%20stsp99_0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E:\DOCUME~1\SBJ322~1.TMI\LOCALS~1\Temp\VIJI's%20FILES\MATERIALS\expl%20stsp99_0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budget"/>
      <sheetName val="JULY_30"/>
      <sheetName val="minicar"/>
      <sheetName val="List "/>
    </sheetNames>
    <sheetDataSet>
      <sheetData sheetId="0"/>
      <sheetData sheetId="1" refreshError="1"/>
      <sheetData sheetId="2"/>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recon1"/>
      <sheetName val="mnth"/>
      <sheetName val="dm1"/>
      <sheetName val="dm"/>
      <sheetName val="Indica"/>
      <sheetName val="Sedan"/>
      <sheetName val="Sal"/>
      <sheetName val="ass"/>
      <sheetName val="Stks"/>
      <sheetName val="pp"/>
      <sheetName val="IV"/>
      <sheetName val="dep"/>
      <sheetName val="tlng"/>
      <sheetName val="woe erc"/>
      <sheetName val="men"/>
      <sheetName val="menot"/>
      <sheetName val="S&amp;W"/>
      <sheetName val="recon"/>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budget"/>
      <sheetName val="JULY_30"/>
      <sheetName val="minicar"/>
    </sheetNames>
    <sheetDataSet>
      <sheetData sheetId="0"/>
      <sheetData sheetId="1" refreshError="1"/>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19"/>
      <sheetName val="120-121"/>
      <sheetName val="122"/>
      <sheetName val="123"/>
    </sheetNames>
    <sheetDataSet>
      <sheetData sheetId="0"/>
      <sheetData sheetId="1" refreshError="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19"/>
      <sheetName val="120-121"/>
      <sheetName val="122"/>
      <sheetName val="123"/>
    </sheetNames>
    <sheetDataSet>
      <sheetData sheetId="0"/>
      <sheetData sheetId="1" refreshError="1"/>
      <sheetData sheetId="2" refreshError="1"/>
      <sheetData sheetId="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recon1"/>
      <sheetName val="mnth"/>
      <sheetName val="dm1"/>
      <sheetName val="dm"/>
      <sheetName val="Indica"/>
      <sheetName val="Sedan"/>
      <sheetName val="Sal"/>
      <sheetName val="ass"/>
      <sheetName val="Stks"/>
      <sheetName val="pp"/>
      <sheetName val="IV"/>
      <sheetName val="dep"/>
      <sheetName val="tlng"/>
      <sheetName val="woe erc"/>
      <sheetName val="men"/>
      <sheetName val="menot"/>
      <sheetName val="S&amp;W"/>
      <sheetName val="rec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llesmere Port (08)"/>
    </sheetNames>
    <sheetDataSet>
      <sheetData sheetId="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MEA"/>
    </sheetNames>
    <sheetDataSet>
      <sheetData sheetId="0"/>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relativeUrl r:id="rId4"/>
    </xxl21:alternateUrls>
    <sheetNames>
      <sheetName val="Summary"/>
      <sheetName val="PQ Audit (New)"/>
      <sheetName val="PQ Audit"/>
      <sheetName val="Scoring guide line"/>
      <sheetName val="Check List"/>
      <sheetName val="Score table"/>
      <sheetName val="Scoring system"/>
      <sheetName val="Audit Sheet"/>
      <sheetName val="Scoring Criteria"/>
      <sheetName val="PALS Target"/>
      <sheetName val="Data Sheet_Do not change "/>
      <sheetName val="Data Sheet_Do not change"/>
      <sheetName val="Data Verification lists"/>
      <sheetName val="Detail Audit checklist"/>
      <sheetName val="PQ physical check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9899"/>
      <sheetName val="TB_Plotting"/>
      <sheetName val="DMCONTRA"/>
      <sheetName val="DM9899"/>
      <sheetName val="contra"/>
      <sheetName val="DPL"/>
      <sheetName val="S&amp;W"/>
      <sheetName val="CAR_DPL"/>
      <sheetName val="turnover"/>
      <sheetName val="works opn expn"/>
      <sheetName val="PTP-Normal"/>
      <sheetName val="STS_PTS"/>
      <sheetName val="PTP_MODVAT"/>
      <sheetName val="DPL (WO CAR)"/>
      <sheetName val="DPL (WO CAR) (%)"/>
      <sheetName val="RIEPILOGO"/>
      <sheetName val="works_opn_expn2"/>
      <sheetName val="DPL_(WO_CAR)2"/>
      <sheetName val="DPL_(WO_CAR)_(%)2"/>
      <sheetName val="works_opn_expn"/>
      <sheetName val="DPL_(WO_CAR)"/>
      <sheetName val="DPL_(WO_CAR)_(%)"/>
      <sheetName val="works_opn_expn1"/>
      <sheetName val="DPL_(WO_CAR)1"/>
      <sheetName val="DPL_(WO_CAR)_(%)1"/>
      <sheetName val="RECON"/>
      <sheetName val="order"/>
      <sheetName val="LOB_prodn"/>
      <sheetName val="08CY Fcst by Mont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MEA"/>
    </sheetNames>
    <sheetDataSet>
      <sheetData sheetId="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ised"/>
      <sheetName val="priceoutmaha (2)"/>
      <sheetName val="custmrpr (2)"/>
      <sheetName val="custmrpr"/>
      <sheetName val="taps"/>
      <sheetName val="indicacost"/>
      <sheetName val="plauto"/>
      <sheetName val="pleng"/>
      <sheetName val="undernegot"/>
      <sheetName val="Lux-Item"/>
      <sheetName val="ccexp"/>
      <sheetName val="strelief"/>
      <sheetName val="tooling"/>
      <sheetName val="stddx"/>
      <sheetName val="petrol"/>
      <sheetName val="cc"/>
      <sheetName val="susra"/>
      <sheetName val="gb"/>
      <sheetName val="summary"/>
      <sheetName val="summary (2)"/>
      <sheetName val="rad"/>
      <sheetName val="Sheet1"/>
      <sheetName val="eng"/>
      <sheetName val="OIls"/>
      <sheetName val="pnts"/>
      <sheetName val="DFME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ised"/>
      <sheetName val="priceoutmaha (2)"/>
      <sheetName val="custmrpr (2)"/>
      <sheetName val="custmrpr"/>
      <sheetName val="taps"/>
      <sheetName val="indicacost"/>
      <sheetName val="plauto"/>
      <sheetName val="pleng"/>
      <sheetName val="undernegot"/>
      <sheetName val="Lux-Item"/>
      <sheetName val="ccexp"/>
      <sheetName val="strelief"/>
      <sheetName val="tooling"/>
      <sheetName val="stddx"/>
      <sheetName val="petrol"/>
      <sheetName val="cc"/>
      <sheetName val="susra"/>
      <sheetName val="gb"/>
      <sheetName val="summary"/>
      <sheetName val="summary (2)"/>
      <sheetName val="rad"/>
      <sheetName val="Sheet1"/>
      <sheetName val="eng"/>
      <sheetName val="OIls"/>
      <sheetName val="pnt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budget"/>
      <sheetName val="finalised"/>
      <sheetName val="JULY_30"/>
      <sheetName val="minicar"/>
    </sheetNames>
    <sheetDataSet>
      <sheetData sheetId="0"/>
      <sheetData sheetId="1" refreshError="1"/>
      <sheetData sheetId="2"/>
      <sheetData sheetId="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budget"/>
      <sheetName val="JULY_30"/>
      <sheetName val="minicar"/>
    </sheetNames>
    <sheetDataSet>
      <sheetData sheetId="0"/>
      <sheetData sheetId="1" refreshError="1"/>
      <sheetData sheetId="2"/>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 &amp; Rr Ride Results Averaged"/>
      <sheetName val="Vehicle Data"/>
      <sheetName val="Nov 2004 Appraisal Results"/>
      <sheetName val="Level 2 Results"/>
      <sheetName val="Level 2 Averages Chart"/>
      <sheetName val="Team Member Correlation - Astra"/>
      <sheetName val="Team Member Correlation - City"/>
      <sheetName val="All Results"/>
      <sheetName val="Comments"/>
      <sheetName val="Vehicle_Data"/>
      <sheetName val="Nov_2004_Appraisal_Results"/>
      <sheetName val="Fr_&amp;_Rr_Ride_Results_Averaged"/>
      <sheetName val="Level_2_Results"/>
      <sheetName val="Level_2_Averages_Chart"/>
      <sheetName val="Team_Member_Correlation_-_Astra"/>
      <sheetName val="Team_Member_Correlation_-_City"/>
      <sheetName val="All_Results"/>
      <sheetName val="bobudget"/>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haust System Level"/>
      <sheetName val="Fr &amp; Rr Ride Results Averaged"/>
    </sheetNames>
    <sheetDataSet>
      <sheetData sheetId="0"/>
      <sheetData sheetId="1"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Exhaust System Level"/>
    </sheetNames>
    <sheetDataSet>
      <sheetData sheetId="0" refreshError="1"/>
      <sheetData sheetId="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ck"/>
      <sheetName val="I'Face Matrix"/>
      <sheetName val="FMEA"/>
      <sheetName val="Team"/>
      <sheetName val="TOC"/>
      <sheetName val="Notes"/>
      <sheetName val="Research"/>
      <sheetName val="Addendum"/>
      <sheetName val="Scales"/>
      <sheetName val="Quality Audit"/>
      <sheetName val="CribSheet"/>
      <sheetName val="I'Face_Matrix"/>
      <sheetName val="Quality_Audit"/>
      <sheetName val="I'Face_Matrix1"/>
      <sheetName val="Quality_Audit1"/>
      <sheetName val="Templ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consfdymar"/>
      <sheetName val="196"/>
      <sheetName val="197"/>
      <sheetName val="198"/>
      <sheetName val="Sheet1"/>
      <sheetName val="Sheet2"/>
      <sheetName val="paintconssummary"/>
      <sheetName val="contractir issuefinal"/>
      <sheetName val="contractor'sissue (2)"/>
      <sheetName val="PG243"/>
      <sheetName val="PG244"/>
      <sheetName val="PG245"/>
      <sheetName val="PG245 (2)"/>
      <sheetName val="262"/>
      <sheetName val="263"/>
      <sheetName val="264"/>
      <sheetName val="matlconsocttomar00fdy"/>
      <sheetName val="230 workings"/>
      <sheetName val="230"/>
      <sheetName val="231workings"/>
      <sheetName val="231"/>
      <sheetName val="2060"/>
      <sheetName val="133"/>
      <sheetName val="137"/>
      <sheetName val="P135-136"/>
      <sheetName val="142"/>
      <sheetName val="TO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consfdymar"/>
      <sheetName val="196"/>
      <sheetName val="197"/>
      <sheetName val="198"/>
      <sheetName val="Sheet1"/>
      <sheetName val="Sheet2"/>
      <sheetName val="paintconssummary"/>
      <sheetName val="contractir issuefinal"/>
      <sheetName val="contractor'sissue (2)"/>
      <sheetName val="PG243"/>
      <sheetName val="PG244"/>
      <sheetName val="PG245"/>
      <sheetName val="PG245 (2)"/>
      <sheetName val="262"/>
      <sheetName val="263"/>
      <sheetName val="264"/>
      <sheetName val="matlconsocttomar00fdy"/>
      <sheetName val="230 workings"/>
      <sheetName val="230"/>
      <sheetName val="231workings"/>
      <sheetName val="231"/>
      <sheetName val="2060"/>
      <sheetName val="133"/>
      <sheetName val="137"/>
      <sheetName val="P135-136"/>
      <sheetName val="14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30A0"/>
  </sheetPr>
  <dimension ref="B1:O102"/>
  <sheetViews>
    <sheetView zoomScaleNormal="100" workbookViewId="0">
      <pane xSplit="5" ySplit="3" topLeftCell="F32" activePane="bottomRight" state="frozen"/>
      <selection pane="bottomRight" activeCell="F100" sqref="F100"/>
      <selection pane="bottomLeft" activeCell="F18" sqref="F18"/>
      <selection pane="topRight" activeCell="F18" sqref="F18"/>
    </sheetView>
  </sheetViews>
  <sheetFormatPr defaultColWidth="8.5703125" defaultRowHeight="12.95"/>
  <cols>
    <col min="1" max="1" width="8.5703125" style="4"/>
    <col min="2" max="2" width="8.28515625" style="11" customWidth="1"/>
    <col min="3" max="3" width="14.140625" style="4" customWidth="1"/>
    <col min="4" max="4" width="24.5703125" style="12" customWidth="1"/>
    <col min="5" max="5" width="36.85546875" style="12" customWidth="1"/>
    <col min="6" max="6" width="130" style="4" customWidth="1"/>
    <col min="7" max="9" width="7.5703125" style="11" customWidth="1"/>
    <col min="10" max="10" width="19.85546875" style="11" customWidth="1"/>
    <col min="11" max="11" width="40" style="12" customWidth="1"/>
    <col min="12" max="12" width="10.42578125" style="12" customWidth="1"/>
    <col min="13" max="14" width="11.140625" style="12" customWidth="1"/>
    <col min="15" max="15" width="11.140625" style="4" customWidth="1"/>
    <col min="16" max="16384" width="8.5703125" style="4"/>
  </cols>
  <sheetData>
    <row r="1" spans="2:15" ht="21">
      <c r="B1" s="18" t="s">
        <v>0</v>
      </c>
    </row>
    <row r="2" spans="2:15">
      <c r="G2" s="38" t="s">
        <v>1</v>
      </c>
      <c r="H2" s="38" t="s">
        <v>2</v>
      </c>
      <c r="I2" s="38" t="s">
        <v>3</v>
      </c>
      <c r="J2" s="38"/>
    </row>
    <row r="3" spans="2:15" ht="55.15" customHeight="1" thickBot="1">
      <c r="B3" s="3" t="s">
        <v>4</v>
      </c>
      <c r="C3" s="3" t="s">
        <v>5</v>
      </c>
      <c r="D3" s="5" t="s">
        <v>6</v>
      </c>
      <c r="E3" s="5" t="s">
        <v>7</v>
      </c>
      <c r="F3" s="3" t="s">
        <v>8</v>
      </c>
      <c r="G3" s="16" t="s">
        <v>9</v>
      </c>
      <c r="H3" s="3" t="s">
        <v>10</v>
      </c>
      <c r="I3" s="16" t="s">
        <v>11</v>
      </c>
      <c r="J3" s="16" t="s">
        <v>12</v>
      </c>
      <c r="K3" s="5" t="s">
        <v>13</v>
      </c>
      <c r="L3" s="42" t="s">
        <v>14</v>
      </c>
      <c r="M3" s="42" t="s">
        <v>15</v>
      </c>
      <c r="N3" s="17" t="s">
        <v>16</v>
      </c>
      <c r="O3" s="17" t="s">
        <v>17</v>
      </c>
    </row>
    <row r="4" spans="2:15" ht="15" customHeight="1" thickBot="1">
      <c r="B4" s="167" t="s">
        <v>18</v>
      </c>
      <c r="C4" s="151" t="s">
        <v>19</v>
      </c>
      <c r="D4" s="6" t="s">
        <v>20</v>
      </c>
      <c r="E4" s="6" t="s">
        <v>21</v>
      </c>
      <c r="F4" s="6" t="s">
        <v>22</v>
      </c>
      <c r="G4" s="15">
        <v>6</v>
      </c>
      <c r="H4" s="15">
        <v>5</v>
      </c>
      <c r="I4" s="15">
        <v>5</v>
      </c>
      <c r="J4" s="15"/>
      <c r="K4" s="6" t="s">
        <v>23</v>
      </c>
      <c r="L4" s="74"/>
      <c r="M4" s="156">
        <f>AVERAGE(G4:G9)</f>
        <v>6</v>
      </c>
      <c r="N4" s="156">
        <f>AVERAGE(H4:H9)</f>
        <v>5.666666666666667</v>
      </c>
      <c r="O4" s="157">
        <f>AVERAGE(I4:I9)</f>
        <v>5.666666666666667</v>
      </c>
    </row>
    <row r="5" spans="2:15" ht="15" customHeight="1" thickBot="1">
      <c r="B5" s="167"/>
      <c r="C5" s="151"/>
      <c r="D5" s="7" t="s">
        <v>24</v>
      </c>
      <c r="E5" s="7" t="s">
        <v>25</v>
      </c>
      <c r="F5" s="7" t="s">
        <v>26</v>
      </c>
      <c r="G5" s="19">
        <v>6</v>
      </c>
      <c r="H5" s="19">
        <v>6</v>
      </c>
      <c r="I5" s="19">
        <v>6</v>
      </c>
      <c r="J5" s="19"/>
      <c r="K5" s="7" t="s">
        <v>27</v>
      </c>
      <c r="L5" s="75"/>
      <c r="M5" s="156"/>
      <c r="N5" s="156"/>
      <c r="O5" s="157"/>
    </row>
    <row r="6" spans="2:15" ht="15" customHeight="1" thickBot="1">
      <c r="B6" s="167"/>
      <c r="C6" s="151"/>
      <c r="D6" s="7" t="s">
        <v>28</v>
      </c>
      <c r="E6" s="7" t="s">
        <v>29</v>
      </c>
      <c r="F6" s="7" t="s">
        <v>30</v>
      </c>
      <c r="G6" s="19">
        <v>6</v>
      </c>
      <c r="H6" s="19">
        <v>5</v>
      </c>
      <c r="I6" s="19">
        <v>5</v>
      </c>
      <c r="J6" s="19"/>
      <c r="K6" s="7" t="s">
        <v>31</v>
      </c>
      <c r="L6" s="75"/>
      <c r="M6" s="156"/>
      <c r="N6" s="156"/>
      <c r="O6" s="157"/>
    </row>
    <row r="7" spans="2:15" ht="15" customHeight="1" thickBot="1">
      <c r="B7" s="167"/>
      <c r="C7" s="151"/>
      <c r="D7" s="7" t="s">
        <v>32</v>
      </c>
      <c r="E7" s="7" t="s">
        <v>33</v>
      </c>
      <c r="F7" s="7" t="s">
        <v>34</v>
      </c>
      <c r="G7" s="19">
        <v>6</v>
      </c>
      <c r="H7" s="19">
        <v>6</v>
      </c>
      <c r="I7" s="19">
        <v>6</v>
      </c>
      <c r="J7" s="19"/>
      <c r="K7" s="7" t="s">
        <v>35</v>
      </c>
      <c r="L7" s="75"/>
      <c r="M7" s="156"/>
      <c r="N7" s="156"/>
      <c r="O7" s="157"/>
    </row>
    <row r="8" spans="2:15" ht="15" customHeight="1" thickBot="1">
      <c r="B8" s="167"/>
      <c r="C8" s="151"/>
      <c r="D8" s="7" t="s">
        <v>36</v>
      </c>
      <c r="E8" s="7" t="s">
        <v>37</v>
      </c>
      <c r="F8" s="7" t="s">
        <v>38</v>
      </c>
      <c r="G8" s="19">
        <v>6</v>
      </c>
      <c r="H8" s="19">
        <v>6</v>
      </c>
      <c r="I8" s="19">
        <v>6</v>
      </c>
      <c r="J8" s="19"/>
      <c r="K8" s="7" t="s">
        <v>39</v>
      </c>
      <c r="L8" s="75"/>
      <c r="M8" s="156"/>
      <c r="N8" s="156"/>
      <c r="O8" s="157"/>
    </row>
    <row r="9" spans="2:15" ht="15" customHeight="1" thickBot="1">
      <c r="B9" s="167"/>
      <c r="C9" s="151"/>
      <c r="D9" s="40" t="s">
        <v>40</v>
      </c>
      <c r="E9" s="40" t="s">
        <v>41</v>
      </c>
      <c r="F9" s="40" t="s">
        <v>42</v>
      </c>
      <c r="G9" s="20">
        <v>6</v>
      </c>
      <c r="H9" s="20">
        <v>6</v>
      </c>
      <c r="I9" s="20">
        <v>6</v>
      </c>
      <c r="J9" s="20"/>
      <c r="K9" s="40" t="s">
        <v>43</v>
      </c>
      <c r="L9" s="75"/>
      <c r="M9" s="156"/>
      <c r="N9" s="156"/>
      <c r="O9" s="157"/>
    </row>
    <row r="10" spans="2:15" ht="15" customHeight="1" thickBot="1">
      <c r="B10" s="167"/>
      <c r="C10" s="145" t="s">
        <v>44</v>
      </c>
      <c r="D10" s="9" t="s">
        <v>20</v>
      </c>
      <c r="E10" s="9" t="s">
        <v>45</v>
      </c>
      <c r="F10" s="9" t="s">
        <v>46</v>
      </c>
      <c r="G10" s="21">
        <v>5</v>
      </c>
      <c r="H10" s="21">
        <v>5</v>
      </c>
      <c r="I10" s="21">
        <v>5</v>
      </c>
      <c r="J10" s="21"/>
      <c r="K10" s="9" t="s">
        <v>47</v>
      </c>
      <c r="L10" s="76"/>
      <c r="M10" s="160">
        <f>AVERAGE(G10:G15)</f>
        <v>6</v>
      </c>
      <c r="N10" s="160">
        <f>AVERAGE(H10:H15)</f>
        <v>5.5</v>
      </c>
      <c r="O10" s="155">
        <f>AVERAGE(I10:I15)</f>
        <v>5.833333333333333</v>
      </c>
    </row>
    <row r="11" spans="2:15" ht="15" customHeight="1" thickBot="1">
      <c r="B11" s="167"/>
      <c r="C11" s="145"/>
      <c r="D11" s="10" t="s">
        <v>24</v>
      </c>
      <c r="E11" s="10" t="s">
        <v>48</v>
      </c>
      <c r="F11" s="10" t="s">
        <v>49</v>
      </c>
      <c r="G11" s="22">
        <v>7</v>
      </c>
      <c r="H11" s="22">
        <v>6</v>
      </c>
      <c r="I11" s="22">
        <v>7</v>
      </c>
      <c r="J11" s="22"/>
      <c r="K11" s="10" t="s">
        <v>50</v>
      </c>
      <c r="L11" s="77"/>
      <c r="M11" s="160"/>
      <c r="N11" s="160"/>
      <c r="O11" s="155"/>
    </row>
    <row r="12" spans="2:15" ht="15" customHeight="1" thickBot="1">
      <c r="B12" s="167"/>
      <c r="C12" s="145"/>
      <c r="D12" s="10" t="s">
        <v>28</v>
      </c>
      <c r="E12" s="10" t="s">
        <v>51</v>
      </c>
      <c r="F12" s="10" t="s">
        <v>52</v>
      </c>
      <c r="G12" s="22">
        <v>6</v>
      </c>
      <c r="H12" s="22">
        <v>5</v>
      </c>
      <c r="I12" s="22">
        <v>5</v>
      </c>
      <c r="J12" s="22"/>
      <c r="K12" s="10" t="s">
        <v>53</v>
      </c>
      <c r="L12" s="77"/>
      <c r="M12" s="160"/>
      <c r="N12" s="160"/>
      <c r="O12" s="155"/>
    </row>
    <row r="13" spans="2:15" ht="15" customHeight="1" thickBot="1">
      <c r="B13" s="167"/>
      <c r="C13" s="145"/>
      <c r="D13" s="10" t="s">
        <v>32</v>
      </c>
      <c r="E13" s="10" t="s">
        <v>54</v>
      </c>
      <c r="F13" s="10" t="s">
        <v>55</v>
      </c>
      <c r="G13" s="22">
        <v>6</v>
      </c>
      <c r="H13" s="22">
        <v>6</v>
      </c>
      <c r="I13" s="22">
        <v>7</v>
      </c>
      <c r="J13" s="22"/>
      <c r="K13" s="10" t="s">
        <v>56</v>
      </c>
      <c r="L13" s="77"/>
      <c r="M13" s="160"/>
      <c r="N13" s="160"/>
      <c r="O13" s="155"/>
    </row>
    <row r="14" spans="2:15" ht="15" customHeight="1" thickBot="1">
      <c r="B14" s="167"/>
      <c r="C14" s="145"/>
      <c r="D14" s="10" t="s">
        <v>36</v>
      </c>
      <c r="E14" s="10" t="s">
        <v>57</v>
      </c>
      <c r="F14" s="10" t="s">
        <v>58</v>
      </c>
      <c r="G14" s="22">
        <v>6</v>
      </c>
      <c r="H14" s="22">
        <v>5</v>
      </c>
      <c r="I14" s="22">
        <v>5</v>
      </c>
      <c r="J14" s="22"/>
      <c r="K14" s="10" t="s">
        <v>59</v>
      </c>
      <c r="L14" s="77"/>
      <c r="M14" s="160"/>
      <c r="N14" s="160"/>
      <c r="O14" s="155"/>
    </row>
    <row r="15" spans="2:15" ht="15" customHeight="1" thickBot="1">
      <c r="B15" s="167"/>
      <c r="C15" s="145"/>
      <c r="D15" s="41" t="s">
        <v>40</v>
      </c>
      <c r="E15" s="41" t="s">
        <v>60</v>
      </c>
      <c r="F15" s="41" t="s">
        <v>61</v>
      </c>
      <c r="G15" s="23">
        <v>6</v>
      </c>
      <c r="H15" s="23">
        <v>6</v>
      </c>
      <c r="I15" s="23">
        <v>6</v>
      </c>
      <c r="J15" s="23"/>
      <c r="K15" s="41" t="s">
        <v>43</v>
      </c>
      <c r="L15" s="77"/>
      <c r="M15" s="160"/>
      <c r="N15" s="160"/>
      <c r="O15" s="155"/>
    </row>
    <row r="16" spans="2:15" ht="15" customHeight="1" thickBot="1">
      <c r="B16" s="167"/>
      <c r="C16" s="151" t="s">
        <v>62</v>
      </c>
      <c r="D16" s="6" t="s">
        <v>20</v>
      </c>
      <c r="E16" s="6" t="s">
        <v>63</v>
      </c>
      <c r="F16" s="6" t="s">
        <v>64</v>
      </c>
      <c r="G16" s="24">
        <v>6</v>
      </c>
      <c r="H16" s="29">
        <v>5</v>
      </c>
      <c r="I16" s="24">
        <v>7</v>
      </c>
      <c r="J16" s="24"/>
      <c r="K16" s="6" t="s">
        <v>65</v>
      </c>
      <c r="L16" s="74"/>
      <c r="M16" s="156">
        <f>AVERAGE(G16:G21)</f>
        <v>6</v>
      </c>
      <c r="N16" s="156">
        <f>AVERAGE(H16:H21)</f>
        <v>5.833333333333333</v>
      </c>
      <c r="O16" s="157">
        <f>AVERAGE(I16:I21)</f>
        <v>6.5</v>
      </c>
    </row>
    <row r="17" spans="2:15" ht="15" customHeight="1" thickBot="1">
      <c r="B17" s="167"/>
      <c r="C17" s="152"/>
      <c r="D17" s="7" t="s">
        <v>24</v>
      </c>
      <c r="E17" s="7" t="s">
        <v>66</v>
      </c>
      <c r="F17" s="7" t="s">
        <v>67</v>
      </c>
      <c r="G17" s="19">
        <v>6</v>
      </c>
      <c r="H17" s="25">
        <v>6</v>
      </c>
      <c r="I17" s="19">
        <v>7</v>
      </c>
      <c r="J17" s="19"/>
      <c r="K17" s="7" t="s">
        <v>68</v>
      </c>
      <c r="L17" s="75"/>
      <c r="M17" s="158"/>
      <c r="N17" s="158"/>
      <c r="O17" s="157"/>
    </row>
    <row r="18" spans="2:15" ht="15" customHeight="1" thickBot="1">
      <c r="B18" s="167"/>
      <c r="C18" s="152"/>
      <c r="D18" s="7" t="s">
        <v>28</v>
      </c>
      <c r="E18" s="7" t="s">
        <v>69</v>
      </c>
      <c r="F18" s="7" t="s">
        <v>70</v>
      </c>
      <c r="G18" s="19">
        <v>6</v>
      </c>
      <c r="H18" s="25">
        <v>6</v>
      </c>
      <c r="I18" s="19">
        <v>6</v>
      </c>
      <c r="J18" s="19"/>
      <c r="K18" s="7" t="s">
        <v>71</v>
      </c>
      <c r="L18" s="75"/>
      <c r="M18" s="158"/>
      <c r="N18" s="158"/>
      <c r="O18" s="157"/>
    </row>
    <row r="19" spans="2:15" ht="15" customHeight="1" thickBot="1">
      <c r="B19" s="167"/>
      <c r="C19" s="152"/>
      <c r="D19" s="7" t="s">
        <v>32</v>
      </c>
      <c r="E19" s="7" t="s">
        <v>72</v>
      </c>
      <c r="F19" s="7" t="s">
        <v>73</v>
      </c>
      <c r="G19" s="19">
        <v>6</v>
      </c>
      <c r="H19" s="25">
        <v>6</v>
      </c>
      <c r="I19" s="19">
        <v>6</v>
      </c>
      <c r="J19" s="19"/>
      <c r="K19" s="7" t="s">
        <v>74</v>
      </c>
      <c r="L19" s="75"/>
      <c r="M19" s="158"/>
      <c r="N19" s="158"/>
      <c r="O19" s="157"/>
    </row>
    <row r="20" spans="2:15" ht="15" customHeight="1" thickBot="1">
      <c r="B20" s="167"/>
      <c r="C20" s="152"/>
      <c r="D20" s="7" t="s">
        <v>36</v>
      </c>
      <c r="E20" s="7" t="s">
        <v>75</v>
      </c>
      <c r="F20" s="7" t="s">
        <v>76</v>
      </c>
      <c r="G20" s="19">
        <v>6</v>
      </c>
      <c r="H20" s="25">
        <v>6</v>
      </c>
      <c r="I20" s="19">
        <v>6</v>
      </c>
      <c r="J20" s="19"/>
      <c r="K20" s="7" t="s">
        <v>77</v>
      </c>
      <c r="L20" s="75"/>
      <c r="M20" s="158"/>
      <c r="N20" s="158"/>
      <c r="O20" s="157"/>
    </row>
    <row r="21" spans="2:15" ht="15" customHeight="1" thickBot="1">
      <c r="B21" s="167"/>
      <c r="C21" s="153"/>
      <c r="D21" s="40" t="s">
        <v>40</v>
      </c>
      <c r="E21" s="40" t="s">
        <v>78</v>
      </c>
      <c r="F21" s="40" t="s">
        <v>79</v>
      </c>
      <c r="G21" s="20">
        <v>6</v>
      </c>
      <c r="H21" s="26">
        <v>6</v>
      </c>
      <c r="I21" s="20">
        <v>7</v>
      </c>
      <c r="J21" s="20"/>
      <c r="K21" s="40" t="s">
        <v>80</v>
      </c>
      <c r="L21" s="75"/>
      <c r="M21" s="159"/>
      <c r="N21" s="159"/>
      <c r="O21" s="157"/>
    </row>
    <row r="22" spans="2:15" ht="15" customHeight="1" thickBot="1">
      <c r="B22" s="167"/>
      <c r="C22" s="145" t="s">
        <v>81</v>
      </c>
      <c r="D22" s="9" t="s">
        <v>20</v>
      </c>
      <c r="E22" s="9" t="s">
        <v>82</v>
      </c>
      <c r="F22" s="9" t="s">
        <v>83</v>
      </c>
      <c r="G22" s="21">
        <v>6</v>
      </c>
      <c r="H22" s="21">
        <v>5</v>
      </c>
      <c r="I22" s="21">
        <v>5</v>
      </c>
      <c r="J22" s="21"/>
      <c r="K22" s="9" t="s">
        <v>84</v>
      </c>
      <c r="L22" s="76"/>
      <c r="M22" s="160">
        <f>AVERAGE(G22:G27)</f>
        <v>5.666666666666667</v>
      </c>
      <c r="N22" s="160">
        <f>AVERAGE(H22:H27)</f>
        <v>5.666666666666667</v>
      </c>
      <c r="O22" s="155">
        <f>AVERAGE(I22:I27)</f>
        <v>5.666666666666667</v>
      </c>
    </row>
    <row r="23" spans="2:15" ht="15" customHeight="1" thickBot="1">
      <c r="B23" s="167"/>
      <c r="C23" s="146"/>
      <c r="D23" s="10" t="s">
        <v>24</v>
      </c>
      <c r="E23" s="10" t="s">
        <v>85</v>
      </c>
      <c r="F23" s="10" t="s">
        <v>86</v>
      </c>
      <c r="G23" s="22">
        <v>5</v>
      </c>
      <c r="H23" s="22">
        <v>5</v>
      </c>
      <c r="I23" s="22">
        <v>5</v>
      </c>
      <c r="J23" s="22"/>
      <c r="K23" s="10" t="s">
        <v>87</v>
      </c>
      <c r="L23" s="77"/>
      <c r="M23" s="161"/>
      <c r="N23" s="161"/>
      <c r="O23" s="155"/>
    </row>
    <row r="24" spans="2:15" ht="15" customHeight="1" thickBot="1">
      <c r="B24" s="167"/>
      <c r="C24" s="146"/>
      <c r="D24" s="10" t="s">
        <v>28</v>
      </c>
      <c r="E24" s="10" t="s">
        <v>88</v>
      </c>
      <c r="F24" s="10" t="s">
        <v>89</v>
      </c>
      <c r="G24" s="22">
        <v>6</v>
      </c>
      <c r="H24" s="22">
        <v>6</v>
      </c>
      <c r="I24" s="22">
        <v>6</v>
      </c>
      <c r="J24" s="22"/>
      <c r="K24" s="10" t="s">
        <v>90</v>
      </c>
      <c r="L24" s="77"/>
      <c r="M24" s="161"/>
      <c r="N24" s="161"/>
      <c r="O24" s="155"/>
    </row>
    <row r="25" spans="2:15" ht="15" customHeight="1" thickBot="1">
      <c r="B25" s="167"/>
      <c r="C25" s="146"/>
      <c r="D25" s="10" t="s">
        <v>32</v>
      </c>
      <c r="E25" s="10" t="s">
        <v>91</v>
      </c>
      <c r="F25" s="10" t="s">
        <v>92</v>
      </c>
      <c r="G25" s="22">
        <v>5</v>
      </c>
      <c r="H25" s="22">
        <v>6</v>
      </c>
      <c r="I25" s="22">
        <v>6</v>
      </c>
      <c r="J25" s="22"/>
      <c r="K25" s="10" t="s">
        <v>93</v>
      </c>
      <c r="L25" s="77"/>
      <c r="M25" s="161"/>
      <c r="N25" s="161"/>
      <c r="O25" s="155"/>
    </row>
    <row r="26" spans="2:15" ht="15" customHeight="1" thickBot="1">
      <c r="B26" s="167"/>
      <c r="C26" s="146"/>
      <c r="D26" s="10" t="s">
        <v>36</v>
      </c>
      <c r="E26" s="10" t="s">
        <v>94</v>
      </c>
      <c r="F26" s="10" t="s">
        <v>95</v>
      </c>
      <c r="G26" s="22">
        <v>6</v>
      </c>
      <c r="H26" s="22">
        <v>6</v>
      </c>
      <c r="I26" s="22">
        <v>6</v>
      </c>
      <c r="J26" s="22"/>
      <c r="K26" s="10" t="s">
        <v>90</v>
      </c>
      <c r="L26" s="77"/>
      <c r="M26" s="161"/>
      <c r="N26" s="161"/>
      <c r="O26" s="155"/>
    </row>
    <row r="27" spans="2:15" ht="15" customHeight="1" thickBot="1">
      <c r="B27" s="167"/>
      <c r="C27" s="147"/>
      <c r="D27" s="41" t="s">
        <v>40</v>
      </c>
      <c r="E27" s="41" t="s">
        <v>96</v>
      </c>
      <c r="F27" s="41" t="s">
        <v>97</v>
      </c>
      <c r="G27" s="23">
        <v>6</v>
      </c>
      <c r="H27" s="23">
        <v>6</v>
      </c>
      <c r="I27" s="23">
        <v>6</v>
      </c>
      <c r="J27" s="23"/>
      <c r="K27" s="41" t="s">
        <v>90</v>
      </c>
      <c r="L27" s="77"/>
      <c r="M27" s="162"/>
      <c r="N27" s="162"/>
      <c r="O27" s="155"/>
    </row>
    <row r="28" spans="2:15" ht="15" customHeight="1" thickBot="1">
      <c r="B28" s="167"/>
      <c r="C28" s="151" t="s">
        <v>98</v>
      </c>
      <c r="D28" s="6" t="s">
        <v>20</v>
      </c>
      <c r="E28" s="6" t="s">
        <v>99</v>
      </c>
      <c r="F28" s="6" t="s">
        <v>100</v>
      </c>
      <c r="G28" s="24">
        <v>6</v>
      </c>
      <c r="H28" s="29">
        <v>5</v>
      </c>
      <c r="I28" s="24">
        <v>7</v>
      </c>
      <c r="J28" s="24"/>
      <c r="K28" s="6" t="s">
        <v>101</v>
      </c>
      <c r="L28" s="74"/>
      <c r="M28" s="156">
        <f>AVERAGE(G28:G33)</f>
        <v>6</v>
      </c>
      <c r="N28" s="156">
        <f>AVERAGE(H28:H33)</f>
        <v>5.5</v>
      </c>
      <c r="O28" s="157">
        <f>AVERAGE(I28:I33)</f>
        <v>6.333333333333333</v>
      </c>
    </row>
    <row r="29" spans="2:15" ht="15" customHeight="1" thickBot="1">
      <c r="B29" s="167"/>
      <c r="C29" s="152"/>
      <c r="D29" s="7" t="s">
        <v>24</v>
      </c>
      <c r="E29" s="7" t="s">
        <v>102</v>
      </c>
      <c r="F29" s="7" t="s">
        <v>103</v>
      </c>
      <c r="G29" s="19">
        <v>6</v>
      </c>
      <c r="H29" s="25">
        <v>6</v>
      </c>
      <c r="I29" s="19">
        <v>7</v>
      </c>
      <c r="J29" s="19"/>
      <c r="K29" s="7" t="s">
        <v>104</v>
      </c>
      <c r="L29" s="75"/>
      <c r="M29" s="158"/>
      <c r="N29" s="158"/>
      <c r="O29" s="157"/>
    </row>
    <row r="30" spans="2:15" ht="15" customHeight="1" thickBot="1">
      <c r="B30" s="167"/>
      <c r="C30" s="152"/>
      <c r="D30" s="7" t="s">
        <v>28</v>
      </c>
      <c r="E30" s="7" t="s">
        <v>105</v>
      </c>
      <c r="F30" s="7" t="s">
        <v>106</v>
      </c>
      <c r="G30" s="19">
        <v>6</v>
      </c>
      <c r="H30" s="25">
        <v>5</v>
      </c>
      <c r="I30" s="19">
        <v>6</v>
      </c>
      <c r="J30" s="19"/>
      <c r="K30" s="7" t="s">
        <v>107</v>
      </c>
      <c r="L30" s="75"/>
      <c r="M30" s="158"/>
      <c r="N30" s="158"/>
      <c r="O30" s="157"/>
    </row>
    <row r="31" spans="2:15" ht="15" customHeight="1" thickBot="1">
      <c r="B31" s="167"/>
      <c r="C31" s="152"/>
      <c r="D31" s="7" t="s">
        <v>32</v>
      </c>
      <c r="E31" s="7" t="s">
        <v>108</v>
      </c>
      <c r="F31" s="7" t="s">
        <v>109</v>
      </c>
      <c r="G31" s="19">
        <v>6</v>
      </c>
      <c r="H31" s="25">
        <v>6</v>
      </c>
      <c r="I31" s="19">
        <v>6</v>
      </c>
      <c r="J31" s="19"/>
      <c r="K31" s="7" t="s">
        <v>110</v>
      </c>
      <c r="L31" s="75"/>
      <c r="M31" s="158"/>
      <c r="N31" s="158"/>
      <c r="O31" s="157"/>
    </row>
    <row r="32" spans="2:15" ht="15" customHeight="1" thickBot="1">
      <c r="B32" s="167"/>
      <c r="C32" s="152"/>
      <c r="D32" s="7" t="s">
        <v>36</v>
      </c>
      <c r="E32" s="7" t="s">
        <v>111</v>
      </c>
      <c r="F32" s="7" t="s">
        <v>112</v>
      </c>
      <c r="G32" s="19">
        <v>6</v>
      </c>
      <c r="H32" s="25">
        <v>5</v>
      </c>
      <c r="I32" s="19">
        <v>6</v>
      </c>
      <c r="J32" s="19"/>
      <c r="K32" s="7" t="s">
        <v>77</v>
      </c>
      <c r="L32" s="75"/>
      <c r="M32" s="158"/>
      <c r="N32" s="158"/>
      <c r="O32" s="157"/>
    </row>
    <row r="33" spans="2:15" ht="15" customHeight="1" thickBot="1">
      <c r="B33" s="167"/>
      <c r="C33" s="153"/>
      <c r="D33" s="40" t="s">
        <v>40</v>
      </c>
      <c r="E33" s="40" t="s">
        <v>113</v>
      </c>
      <c r="F33" s="40" t="s">
        <v>114</v>
      </c>
      <c r="G33" s="20">
        <v>6</v>
      </c>
      <c r="H33" s="26">
        <v>6</v>
      </c>
      <c r="I33" s="20">
        <v>6</v>
      </c>
      <c r="J33" s="20"/>
      <c r="K33" s="40" t="s">
        <v>115</v>
      </c>
      <c r="L33" s="75"/>
      <c r="M33" s="159"/>
      <c r="N33" s="159"/>
      <c r="O33" s="157"/>
    </row>
    <row r="34" spans="2:15" ht="15" customHeight="1" thickBot="1">
      <c r="B34" s="167"/>
      <c r="C34" s="145" t="s">
        <v>116</v>
      </c>
      <c r="D34" s="9" t="s">
        <v>20</v>
      </c>
      <c r="E34" s="9" t="s">
        <v>117</v>
      </c>
      <c r="F34" s="9" t="s">
        <v>118</v>
      </c>
      <c r="G34" s="21">
        <v>6</v>
      </c>
      <c r="H34" s="21">
        <v>6</v>
      </c>
      <c r="I34" s="21">
        <v>6</v>
      </c>
      <c r="J34" s="21"/>
      <c r="K34" s="9" t="s">
        <v>104</v>
      </c>
      <c r="L34" s="76"/>
      <c r="M34" s="160">
        <f>AVERAGE(G34:G39)</f>
        <v>6</v>
      </c>
      <c r="N34" s="160">
        <f>AVERAGE(H34:H39)</f>
        <v>6</v>
      </c>
      <c r="O34" s="155">
        <f>AVERAGE(I34:I39)</f>
        <v>6.333333333333333</v>
      </c>
    </row>
    <row r="35" spans="2:15" ht="15" customHeight="1" thickBot="1">
      <c r="B35" s="167"/>
      <c r="C35" s="146"/>
      <c r="D35" s="10" t="s">
        <v>24</v>
      </c>
      <c r="E35" s="10" t="s">
        <v>119</v>
      </c>
      <c r="F35" s="10" t="s">
        <v>120</v>
      </c>
      <c r="G35" s="22">
        <v>6</v>
      </c>
      <c r="H35" s="22">
        <v>6</v>
      </c>
      <c r="I35" s="22">
        <v>7</v>
      </c>
      <c r="J35" s="22"/>
      <c r="K35" s="10" t="s">
        <v>104</v>
      </c>
      <c r="L35" s="77"/>
      <c r="M35" s="161"/>
      <c r="N35" s="161"/>
      <c r="O35" s="155"/>
    </row>
    <row r="36" spans="2:15" ht="15" customHeight="1" thickBot="1">
      <c r="B36" s="167"/>
      <c r="C36" s="146"/>
      <c r="D36" s="10" t="s">
        <v>28</v>
      </c>
      <c r="E36" s="10" t="s">
        <v>121</v>
      </c>
      <c r="F36" s="10" t="s">
        <v>122</v>
      </c>
      <c r="G36" s="22">
        <v>6</v>
      </c>
      <c r="H36" s="22">
        <v>6</v>
      </c>
      <c r="I36" s="22">
        <v>6</v>
      </c>
      <c r="J36" s="22"/>
      <c r="K36" s="10" t="s">
        <v>107</v>
      </c>
      <c r="L36" s="77"/>
      <c r="M36" s="161"/>
      <c r="N36" s="161"/>
      <c r="O36" s="155"/>
    </row>
    <row r="37" spans="2:15" ht="15" customHeight="1" thickBot="1">
      <c r="B37" s="167"/>
      <c r="C37" s="146"/>
      <c r="D37" s="10" t="s">
        <v>32</v>
      </c>
      <c r="E37" s="10" t="s">
        <v>123</v>
      </c>
      <c r="F37" s="10" t="s">
        <v>124</v>
      </c>
      <c r="G37" s="22">
        <v>6</v>
      </c>
      <c r="H37" s="22">
        <v>6</v>
      </c>
      <c r="I37" s="22">
        <v>6</v>
      </c>
      <c r="J37" s="22"/>
      <c r="K37" s="10" t="s">
        <v>110</v>
      </c>
      <c r="L37" s="77"/>
      <c r="M37" s="161"/>
      <c r="N37" s="161"/>
      <c r="O37" s="155"/>
    </row>
    <row r="38" spans="2:15" ht="15" customHeight="1" thickBot="1">
      <c r="B38" s="167"/>
      <c r="C38" s="146"/>
      <c r="D38" s="10" t="s">
        <v>36</v>
      </c>
      <c r="E38" s="10" t="s">
        <v>125</v>
      </c>
      <c r="F38" s="10" t="s">
        <v>126</v>
      </c>
      <c r="G38" s="22">
        <v>6</v>
      </c>
      <c r="H38" s="22">
        <v>6</v>
      </c>
      <c r="I38" s="22">
        <v>6</v>
      </c>
      <c r="J38" s="22"/>
      <c r="K38" s="10" t="s">
        <v>77</v>
      </c>
      <c r="L38" s="77"/>
      <c r="M38" s="161"/>
      <c r="N38" s="161"/>
      <c r="O38" s="155"/>
    </row>
    <row r="39" spans="2:15" ht="15" customHeight="1" thickBot="1">
      <c r="B39" s="167"/>
      <c r="C39" s="147"/>
      <c r="D39" s="41" t="s">
        <v>40</v>
      </c>
      <c r="E39" s="41" t="s">
        <v>127</v>
      </c>
      <c r="F39" s="41" t="s">
        <v>128</v>
      </c>
      <c r="G39" s="23">
        <v>6</v>
      </c>
      <c r="H39" s="23">
        <v>6</v>
      </c>
      <c r="I39" s="23">
        <v>7</v>
      </c>
      <c r="J39" s="23"/>
      <c r="K39" s="41" t="s">
        <v>129</v>
      </c>
      <c r="L39" s="77"/>
      <c r="M39" s="162"/>
      <c r="N39" s="162"/>
      <c r="O39" s="155"/>
    </row>
    <row r="40" spans="2:15" ht="15" customHeight="1">
      <c r="B40" s="167" t="s">
        <v>130</v>
      </c>
      <c r="C40" s="151" t="s">
        <v>131</v>
      </c>
      <c r="D40" s="6" t="s">
        <v>20</v>
      </c>
      <c r="E40" s="6" t="s">
        <v>132</v>
      </c>
      <c r="F40" s="6" t="s">
        <v>133</v>
      </c>
      <c r="G40" s="24">
        <v>7</v>
      </c>
      <c r="H40" s="29">
        <v>5</v>
      </c>
      <c r="I40" s="24">
        <v>8</v>
      </c>
      <c r="J40" s="24"/>
      <c r="K40" s="6" t="s">
        <v>134</v>
      </c>
      <c r="L40" s="74"/>
      <c r="M40" s="156">
        <f>AVERAGE(G40:G45)</f>
        <v>7</v>
      </c>
      <c r="N40" s="156">
        <f>AVERAGE(H40:H45)</f>
        <v>5.5</v>
      </c>
      <c r="O40" s="157">
        <f>AVERAGE(I40:I45)</f>
        <v>8</v>
      </c>
    </row>
    <row r="41" spans="2:15" ht="15" customHeight="1">
      <c r="B41" s="168"/>
      <c r="C41" s="152"/>
      <c r="D41" s="7" t="s">
        <v>24</v>
      </c>
      <c r="E41" s="7" t="s">
        <v>135</v>
      </c>
      <c r="F41" s="7" t="s">
        <v>136</v>
      </c>
      <c r="G41" s="19">
        <v>7</v>
      </c>
      <c r="H41" s="25">
        <v>5</v>
      </c>
      <c r="I41" s="19">
        <v>8</v>
      </c>
      <c r="J41" s="19"/>
      <c r="K41" s="7" t="s">
        <v>137</v>
      </c>
      <c r="L41" s="75"/>
      <c r="M41" s="158"/>
      <c r="N41" s="158"/>
      <c r="O41" s="157"/>
    </row>
    <row r="42" spans="2:15" ht="15" customHeight="1">
      <c r="B42" s="168"/>
      <c r="C42" s="152"/>
      <c r="D42" s="7" t="s">
        <v>28</v>
      </c>
      <c r="E42" s="7" t="s">
        <v>138</v>
      </c>
      <c r="F42" s="7" t="s">
        <v>139</v>
      </c>
      <c r="G42" s="19">
        <v>8</v>
      </c>
      <c r="H42" s="25">
        <v>6</v>
      </c>
      <c r="I42" s="19">
        <v>8</v>
      </c>
      <c r="J42" s="19"/>
      <c r="K42" s="7" t="s">
        <v>140</v>
      </c>
      <c r="L42" s="75"/>
      <c r="M42" s="158"/>
      <c r="N42" s="158"/>
      <c r="O42" s="157"/>
    </row>
    <row r="43" spans="2:15" ht="15" customHeight="1">
      <c r="B43" s="168"/>
      <c r="C43" s="152"/>
      <c r="D43" s="7" t="s">
        <v>32</v>
      </c>
      <c r="E43" s="7" t="s">
        <v>141</v>
      </c>
      <c r="F43" s="7" t="s">
        <v>142</v>
      </c>
      <c r="G43" s="19">
        <v>7</v>
      </c>
      <c r="H43" s="25">
        <v>5</v>
      </c>
      <c r="I43" s="19">
        <v>8</v>
      </c>
      <c r="J43" s="19"/>
      <c r="K43" s="7" t="s">
        <v>143</v>
      </c>
      <c r="L43" s="75"/>
      <c r="M43" s="158"/>
      <c r="N43" s="158"/>
      <c r="O43" s="157"/>
    </row>
    <row r="44" spans="2:15" ht="15" customHeight="1">
      <c r="B44" s="168"/>
      <c r="C44" s="152"/>
      <c r="D44" s="7" t="s">
        <v>36</v>
      </c>
      <c r="E44" s="7" t="s">
        <v>144</v>
      </c>
      <c r="F44" s="7" t="s">
        <v>145</v>
      </c>
      <c r="G44" s="19">
        <v>6</v>
      </c>
      <c r="H44" s="25">
        <v>6</v>
      </c>
      <c r="I44" s="19">
        <v>8</v>
      </c>
      <c r="J44" s="19"/>
      <c r="K44" s="7" t="s">
        <v>146</v>
      </c>
      <c r="L44" s="75"/>
      <c r="M44" s="158"/>
      <c r="N44" s="158"/>
      <c r="O44" s="157"/>
    </row>
    <row r="45" spans="2:15" ht="15" customHeight="1" thickBot="1">
      <c r="B45" s="168"/>
      <c r="C45" s="153"/>
      <c r="D45" s="40" t="s">
        <v>40</v>
      </c>
      <c r="E45" s="40" t="s">
        <v>147</v>
      </c>
      <c r="F45" s="40" t="s">
        <v>148</v>
      </c>
      <c r="G45" s="20">
        <v>7</v>
      </c>
      <c r="H45" s="26">
        <v>6</v>
      </c>
      <c r="I45" s="20">
        <v>8</v>
      </c>
      <c r="J45" s="20"/>
      <c r="K45" s="40" t="s">
        <v>149</v>
      </c>
      <c r="L45" s="75"/>
      <c r="M45" s="159"/>
      <c r="N45" s="159"/>
      <c r="O45" s="157"/>
    </row>
    <row r="46" spans="2:15" ht="15" customHeight="1">
      <c r="B46" s="168"/>
      <c r="C46" s="145" t="s">
        <v>150</v>
      </c>
      <c r="D46" s="9" t="s">
        <v>20</v>
      </c>
      <c r="E46" s="9" t="s">
        <v>151</v>
      </c>
      <c r="F46" s="9" t="s">
        <v>152</v>
      </c>
      <c r="G46" s="21">
        <v>7</v>
      </c>
      <c r="H46" s="37">
        <v>7</v>
      </c>
      <c r="I46" s="21">
        <v>8</v>
      </c>
      <c r="J46" s="21"/>
      <c r="K46" s="9" t="s">
        <v>153</v>
      </c>
      <c r="L46" s="76"/>
      <c r="M46" s="160">
        <f>AVERAGE(G46:G51)</f>
        <v>7</v>
      </c>
      <c r="N46" s="160">
        <f>AVERAGE(H46:H51)</f>
        <v>6.5</v>
      </c>
      <c r="O46" s="155">
        <f>AVERAGE(I46:I51)</f>
        <v>7.333333333333333</v>
      </c>
    </row>
    <row r="47" spans="2:15" ht="15" customHeight="1">
      <c r="B47" s="168"/>
      <c r="C47" s="146"/>
      <c r="D47" s="10" t="s">
        <v>24</v>
      </c>
      <c r="E47" s="10" t="s">
        <v>154</v>
      </c>
      <c r="F47" s="10" t="s">
        <v>155</v>
      </c>
      <c r="G47" s="22">
        <v>7</v>
      </c>
      <c r="H47" s="27">
        <v>7</v>
      </c>
      <c r="I47" s="22">
        <v>7</v>
      </c>
      <c r="J47" s="22"/>
      <c r="K47" s="10" t="s">
        <v>156</v>
      </c>
      <c r="L47" s="77"/>
      <c r="M47" s="161"/>
      <c r="N47" s="161"/>
      <c r="O47" s="155"/>
    </row>
    <row r="48" spans="2:15" ht="15" customHeight="1">
      <c r="B48" s="168"/>
      <c r="C48" s="146"/>
      <c r="D48" s="10" t="s">
        <v>28</v>
      </c>
      <c r="E48" s="10" t="s">
        <v>157</v>
      </c>
      <c r="F48" s="10" t="s">
        <v>158</v>
      </c>
      <c r="G48" s="22">
        <v>7</v>
      </c>
      <c r="H48" s="27">
        <v>7</v>
      </c>
      <c r="I48" s="22">
        <v>7</v>
      </c>
      <c r="J48" s="22"/>
      <c r="K48" s="10" t="s">
        <v>159</v>
      </c>
      <c r="L48" s="77"/>
      <c r="M48" s="161"/>
      <c r="N48" s="161"/>
      <c r="O48" s="155"/>
    </row>
    <row r="49" spans="2:15" ht="15" customHeight="1">
      <c r="B49" s="168"/>
      <c r="C49" s="146"/>
      <c r="D49" s="10" t="s">
        <v>32</v>
      </c>
      <c r="E49" s="10" t="s">
        <v>160</v>
      </c>
      <c r="F49" s="10" t="s">
        <v>161</v>
      </c>
      <c r="G49" s="22">
        <v>7</v>
      </c>
      <c r="H49" s="27">
        <v>6</v>
      </c>
      <c r="I49" s="22">
        <v>8</v>
      </c>
      <c r="J49" s="22"/>
      <c r="K49" s="10" t="s">
        <v>162</v>
      </c>
      <c r="L49" s="77"/>
      <c r="M49" s="161"/>
      <c r="N49" s="161"/>
      <c r="O49" s="155"/>
    </row>
    <row r="50" spans="2:15" ht="15" customHeight="1">
      <c r="B50" s="168"/>
      <c r="C50" s="146"/>
      <c r="D50" s="10" t="s">
        <v>36</v>
      </c>
      <c r="E50" s="10" t="s">
        <v>163</v>
      </c>
      <c r="F50" s="10" t="s">
        <v>164</v>
      </c>
      <c r="G50" s="22">
        <v>6</v>
      </c>
      <c r="H50" s="27">
        <v>6</v>
      </c>
      <c r="I50" s="22">
        <v>6</v>
      </c>
      <c r="J50" s="22"/>
      <c r="K50" s="10" t="s">
        <v>165</v>
      </c>
      <c r="L50" s="77"/>
      <c r="M50" s="161"/>
      <c r="N50" s="161"/>
      <c r="O50" s="155"/>
    </row>
    <row r="51" spans="2:15" ht="15" customHeight="1" thickBot="1">
      <c r="B51" s="168"/>
      <c r="C51" s="147"/>
      <c r="D51" s="41" t="s">
        <v>40</v>
      </c>
      <c r="E51" s="41" t="s">
        <v>166</v>
      </c>
      <c r="F51" s="41" t="s">
        <v>167</v>
      </c>
      <c r="G51" s="23">
        <v>8</v>
      </c>
      <c r="H51" s="28">
        <v>6</v>
      </c>
      <c r="I51" s="23">
        <v>8</v>
      </c>
      <c r="J51" s="23"/>
      <c r="K51" s="41" t="s">
        <v>168</v>
      </c>
      <c r="L51" s="77"/>
      <c r="M51" s="162"/>
      <c r="N51" s="162"/>
      <c r="O51" s="155"/>
    </row>
    <row r="52" spans="2:15" ht="15" customHeight="1">
      <c r="B52" s="168"/>
      <c r="C52" s="151" t="s">
        <v>169</v>
      </c>
      <c r="D52" s="6" t="s">
        <v>20</v>
      </c>
      <c r="E52" s="6" t="s">
        <v>170</v>
      </c>
      <c r="F52" s="6" t="s">
        <v>171</v>
      </c>
      <c r="G52" s="24">
        <v>7</v>
      </c>
      <c r="H52" s="29">
        <v>5</v>
      </c>
      <c r="I52" s="24">
        <v>8</v>
      </c>
      <c r="J52" s="24"/>
      <c r="K52" s="6" t="s">
        <v>134</v>
      </c>
      <c r="L52" s="74"/>
      <c r="M52" s="156">
        <f>AVERAGE(G52:G57)</f>
        <v>7</v>
      </c>
      <c r="N52" s="156">
        <f>AVERAGE(H52:H57)</f>
        <v>5.333333333333333</v>
      </c>
      <c r="O52" s="157">
        <f>AVERAGE(I52:I57)</f>
        <v>7.5</v>
      </c>
    </row>
    <row r="53" spans="2:15" ht="15" customHeight="1">
      <c r="B53" s="168"/>
      <c r="C53" s="152"/>
      <c r="D53" s="7" t="s">
        <v>24</v>
      </c>
      <c r="E53" s="7" t="s">
        <v>172</v>
      </c>
      <c r="F53" s="7" t="s">
        <v>173</v>
      </c>
      <c r="G53" s="19">
        <v>7</v>
      </c>
      <c r="H53" s="25">
        <v>6</v>
      </c>
      <c r="I53" s="19">
        <v>8</v>
      </c>
      <c r="J53" s="19"/>
      <c r="K53" s="7" t="s">
        <v>137</v>
      </c>
      <c r="L53" s="75"/>
      <c r="M53" s="158"/>
      <c r="N53" s="158"/>
      <c r="O53" s="157"/>
    </row>
    <row r="54" spans="2:15" ht="15" customHeight="1">
      <c r="B54" s="168"/>
      <c r="C54" s="152"/>
      <c r="D54" s="7" t="s">
        <v>28</v>
      </c>
      <c r="E54" s="7" t="s">
        <v>174</v>
      </c>
      <c r="F54" s="7" t="s">
        <v>175</v>
      </c>
      <c r="G54" s="25">
        <v>7</v>
      </c>
      <c r="H54" s="25">
        <v>5</v>
      </c>
      <c r="I54" s="25">
        <v>7</v>
      </c>
      <c r="J54" s="25"/>
      <c r="K54" s="7" t="s">
        <v>176</v>
      </c>
      <c r="L54" s="78"/>
      <c r="M54" s="158"/>
      <c r="N54" s="158"/>
      <c r="O54" s="157"/>
    </row>
    <row r="55" spans="2:15" ht="15" customHeight="1">
      <c r="B55" s="168"/>
      <c r="C55" s="152"/>
      <c r="D55" s="7" t="s">
        <v>32</v>
      </c>
      <c r="E55" s="7" t="s">
        <v>177</v>
      </c>
      <c r="F55" s="7" t="s">
        <v>178</v>
      </c>
      <c r="G55" s="25">
        <v>8</v>
      </c>
      <c r="H55" s="25">
        <v>5</v>
      </c>
      <c r="I55" s="25">
        <v>8</v>
      </c>
      <c r="J55" s="25"/>
      <c r="K55" s="7" t="s">
        <v>179</v>
      </c>
      <c r="L55" s="78"/>
      <c r="M55" s="158"/>
      <c r="N55" s="158"/>
      <c r="O55" s="157"/>
    </row>
    <row r="56" spans="2:15" ht="15" customHeight="1">
      <c r="B56" s="168"/>
      <c r="C56" s="152"/>
      <c r="D56" s="7" t="s">
        <v>36</v>
      </c>
      <c r="E56" s="7" t="s">
        <v>180</v>
      </c>
      <c r="F56" s="7" t="s">
        <v>181</v>
      </c>
      <c r="G56" s="25">
        <v>6</v>
      </c>
      <c r="H56" s="25">
        <v>5</v>
      </c>
      <c r="I56" s="25">
        <v>6</v>
      </c>
      <c r="J56" s="25"/>
      <c r="K56" s="7" t="s">
        <v>77</v>
      </c>
      <c r="L56" s="78"/>
      <c r="M56" s="158"/>
      <c r="N56" s="158"/>
      <c r="O56" s="157"/>
    </row>
    <row r="57" spans="2:15" ht="15" customHeight="1" thickBot="1">
      <c r="B57" s="168"/>
      <c r="C57" s="153"/>
      <c r="D57" s="40" t="s">
        <v>40</v>
      </c>
      <c r="E57" s="40" t="s">
        <v>182</v>
      </c>
      <c r="F57" s="40" t="s">
        <v>183</v>
      </c>
      <c r="G57" s="26">
        <v>7</v>
      </c>
      <c r="H57" s="26">
        <v>6</v>
      </c>
      <c r="I57" s="26">
        <v>8</v>
      </c>
      <c r="J57" s="26"/>
      <c r="K57" s="40" t="s">
        <v>168</v>
      </c>
      <c r="L57" s="78"/>
      <c r="M57" s="159"/>
      <c r="N57" s="159"/>
      <c r="O57" s="157"/>
    </row>
    <row r="58" spans="2:15" ht="15" customHeight="1">
      <c r="B58" s="168"/>
      <c r="C58" s="145" t="s">
        <v>184</v>
      </c>
      <c r="D58" s="9" t="s">
        <v>20</v>
      </c>
      <c r="E58" s="9" t="s">
        <v>185</v>
      </c>
      <c r="F58" s="9" t="s">
        <v>186</v>
      </c>
      <c r="G58" s="21">
        <v>7</v>
      </c>
      <c r="H58" s="37">
        <v>5</v>
      </c>
      <c r="I58" s="21">
        <v>8</v>
      </c>
      <c r="J58" s="21"/>
      <c r="K58" s="9" t="s">
        <v>134</v>
      </c>
      <c r="L58" s="76"/>
      <c r="M58" s="160">
        <f t="shared" ref="M58" si="0">AVERAGE(G58:G63)</f>
        <v>7.166666666666667</v>
      </c>
      <c r="N58" s="160">
        <f>AVERAGE(H58:H63)</f>
        <v>5.5</v>
      </c>
      <c r="O58" s="155">
        <f>AVERAGE(I58:I63)</f>
        <v>7.5</v>
      </c>
    </row>
    <row r="59" spans="2:15" ht="15" customHeight="1">
      <c r="B59" s="168"/>
      <c r="C59" s="146"/>
      <c r="D59" s="10" t="s">
        <v>24</v>
      </c>
      <c r="E59" s="10" t="s">
        <v>187</v>
      </c>
      <c r="F59" s="10" t="s">
        <v>188</v>
      </c>
      <c r="G59" s="22">
        <v>8</v>
      </c>
      <c r="H59" s="27">
        <v>6</v>
      </c>
      <c r="I59" s="22">
        <v>8</v>
      </c>
      <c r="J59" s="22"/>
      <c r="K59" s="10" t="s">
        <v>189</v>
      </c>
      <c r="L59" s="77"/>
      <c r="M59" s="161"/>
      <c r="N59" s="161"/>
      <c r="O59" s="155"/>
    </row>
    <row r="60" spans="2:15" ht="15" customHeight="1">
      <c r="B60" s="168"/>
      <c r="C60" s="146"/>
      <c r="D60" s="10" t="s">
        <v>28</v>
      </c>
      <c r="E60" s="10" t="s">
        <v>190</v>
      </c>
      <c r="F60" s="10" t="s">
        <v>191</v>
      </c>
      <c r="G60" s="27">
        <v>7</v>
      </c>
      <c r="H60" s="27">
        <v>6</v>
      </c>
      <c r="I60" s="27">
        <v>7</v>
      </c>
      <c r="J60" s="27"/>
      <c r="K60" s="10" t="s">
        <v>176</v>
      </c>
      <c r="L60" s="79"/>
      <c r="M60" s="161"/>
      <c r="N60" s="161"/>
      <c r="O60" s="155"/>
    </row>
    <row r="61" spans="2:15" ht="15" customHeight="1">
      <c r="B61" s="168"/>
      <c r="C61" s="146"/>
      <c r="D61" s="10" t="s">
        <v>32</v>
      </c>
      <c r="E61" s="10" t="s">
        <v>192</v>
      </c>
      <c r="F61" s="10" t="s">
        <v>193</v>
      </c>
      <c r="G61" s="27">
        <v>7</v>
      </c>
      <c r="H61" s="27">
        <v>5</v>
      </c>
      <c r="I61" s="27">
        <v>8</v>
      </c>
      <c r="J61" s="27"/>
      <c r="K61" s="10" t="s">
        <v>194</v>
      </c>
      <c r="L61" s="79"/>
      <c r="M61" s="161"/>
      <c r="N61" s="161"/>
      <c r="O61" s="155"/>
    </row>
    <row r="62" spans="2:15" ht="15" customHeight="1">
      <c r="B62" s="168"/>
      <c r="C62" s="146"/>
      <c r="D62" s="10" t="s">
        <v>36</v>
      </c>
      <c r="E62" s="10" t="s">
        <v>195</v>
      </c>
      <c r="F62" s="10" t="s">
        <v>196</v>
      </c>
      <c r="G62" s="27">
        <v>6</v>
      </c>
      <c r="H62" s="27">
        <v>5</v>
      </c>
      <c r="I62" s="27">
        <v>6</v>
      </c>
      <c r="J62" s="27"/>
      <c r="K62" s="10" t="s">
        <v>77</v>
      </c>
      <c r="L62" s="79"/>
      <c r="M62" s="161"/>
      <c r="N62" s="161"/>
      <c r="O62" s="155"/>
    </row>
    <row r="63" spans="2:15" ht="15" customHeight="1" thickBot="1">
      <c r="B63" s="168"/>
      <c r="C63" s="147"/>
      <c r="D63" s="41" t="s">
        <v>40</v>
      </c>
      <c r="E63" s="41" t="s">
        <v>197</v>
      </c>
      <c r="F63" s="41" t="s">
        <v>198</v>
      </c>
      <c r="G63" s="28">
        <v>8</v>
      </c>
      <c r="H63" s="28">
        <v>6</v>
      </c>
      <c r="I63" s="28">
        <v>8</v>
      </c>
      <c r="J63" s="28"/>
      <c r="K63" s="41" t="s">
        <v>168</v>
      </c>
      <c r="L63" s="79"/>
      <c r="M63" s="162"/>
      <c r="N63" s="162"/>
      <c r="O63" s="155"/>
    </row>
    <row r="64" spans="2:15" ht="15" customHeight="1">
      <c r="B64" s="168"/>
      <c r="C64" s="151" t="s">
        <v>199</v>
      </c>
      <c r="D64" s="6" t="s">
        <v>20</v>
      </c>
      <c r="E64" s="6" t="s">
        <v>200</v>
      </c>
      <c r="F64" s="6" t="s">
        <v>201</v>
      </c>
      <c r="G64" s="29">
        <v>7</v>
      </c>
      <c r="H64" s="29">
        <v>6</v>
      </c>
      <c r="I64" s="29">
        <v>8</v>
      </c>
      <c r="J64" s="29"/>
      <c r="K64" s="6" t="s">
        <v>202</v>
      </c>
      <c r="L64" s="80"/>
      <c r="M64" s="156">
        <f>AVERAGE(G64:G69)</f>
        <v>7.333333333333333</v>
      </c>
      <c r="N64" s="156">
        <f>AVERAGE(H64:H69)</f>
        <v>6</v>
      </c>
      <c r="O64" s="157">
        <f>AVERAGE(I64:I69)</f>
        <v>7.5</v>
      </c>
    </row>
    <row r="65" spans="2:15" ht="15" customHeight="1">
      <c r="B65" s="168"/>
      <c r="C65" s="152"/>
      <c r="D65" s="7" t="s">
        <v>24</v>
      </c>
      <c r="E65" s="7" t="s">
        <v>203</v>
      </c>
      <c r="F65" s="7" t="s">
        <v>204</v>
      </c>
      <c r="G65" s="25">
        <v>8</v>
      </c>
      <c r="H65" s="25">
        <v>6</v>
      </c>
      <c r="I65" s="25">
        <v>8</v>
      </c>
      <c r="J65" s="25"/>
      <c r="K65" s="7" t="s">
        <v>189</v>
      </c>
      <c r="L65" s="78"/>
      <c r="M65" s="158"/>
      <c r="N65" s="158"/>
      <c r="O65" s="157"/>
    </row>
    <row r="66" spans="2:15" ht="15" customHeight="1">
      <c r="B66" s="168"/>
      <c r="C66" s="152"/>
      <c r="D66" s="7" t="s">
        <v>28</v>
      </c>
      <c r="E66" s="7" t="s">
        <v>205</v>
      </c>
      <c r="F66" s="7" t="s">
        <v>206</v>
      </c>
      <c r="G66" s="25">
        <v>8</v>
      </c>
      <c r="H66" s="25">
        <v>7</v>
      </c>
      <c r="I66" s="25">
        <v>7</v>
      </c>
      <c r="J66" s="25"/>
      <c r="K66" s="7" t="s">
        <v>207</v>
      </c>
      <c r="L66" s="78"/>
      <c r="M66" s="158"/>
      <c r="N66" s="158"/>
      <c r="O66" s="157"/>
    </row>
    <row r="67" spans="2:15" ht="15" customHeight="1">
      <c r="B67" s="168"/>
      <c r="C67" s="152"/>
      <c r="D67" s="7" t="s">
        <v>32</v>
      </c>
      <c r="E67" s="7" t="s">
        <v>208</v>
      </c>
      <c r="F67" s="7" t="s">
        <v>209</v>
      </c>
      <c r="G67" s="25">
        <v>7</v>
      </c>
      <c r="H67" s="25">
        <v>5</v>
      </c>
      <c r="I67" s="25">
        <v>8</v>
      </c>
      <c r="J67" s="25"/>
      <c r="K67" s="7" t="s">
        <v>210</v>
      </c>
      <c r="L67" s="78"/>
      <c r="M67" s="158"/>
      <c r="N67" s="158"/>
      <c r="O67" s="157"/>
    </row>
    <row r="68" spans="2:15" ht="15" customHeight="1">
      <c r="B68" s="168"/>
      <c r="C68" s="152"/>
      <c r="D68" s="7" t="s">
        <v>36</v>
      </c>
      <c r="E68" s="7" t="s">
        <v>211</v>
      </c>
      <c r="F68" s="7" t="s">
        <v>212</v>
      </c>
      <c r="G68" s="25">
        <v>6</v>
      </c>
      <c r="H68" s="25">
        <v>6</v>
      </c>
      <c r="I68" s="25">
        <v>6</v>
      </c>
      <c r="J68" s="25"/>
      <c r="K68" s="7" t="s">
        <v>77</v>
      </c>
      <c r="L68" s="78"/>
      <c r="M68" s="158"/>
      <c r="N68" s="158"/>
      <c r="O68" s="157"/>
    </row>
    <row r="69" spans="2:15" ht="15" customHeight="1" thickBot="1">
      <c r="B69" s="168"/>
      <c r="C69" s="153"/>
      <c r="D69" s="40" t="s">
        <v>40</v>
      </c>
      <c r="E69" s="40" t="s">
        <v>213</v>
      </c>
      <c r="F69" s="40" t="s">
        <v>214</v>
      </c>
      <c r="G69" s="26">
        <v>8</v>
      </c>
      <c r="H69" s="26">
        <v>6</v>
      </c>
      <c r="I69" s="26">
        <v>8</v>
      </c>
      <c r="J69" s="26"/>
      <c r="K69" s="40" t="s">
        <v>168</v>
      </c>
      <c r="L69" s="78"/>
      <c r="M69" s="159"/>
      <c r="N69" s="159"/>
      <c r="O69" s="157"/>
    </row>
    <row r="70" spans="2:15" ht="15" customHeight="1">
      <c r="B70" s="168"/>
      <c r="C70" s="145" t="s">
        <v>215</v>
      </c>
      <c r="D70" s="9" t="s">
        <v>20</v>
      </c>
      <c r="E70" s="9" t="s">
        <v>216</v>
      </c>
      <c r="F70" s="9" t="s">
        <v>217</v>
      </c>
      <c r="G70" s="37">
        <v>7</v>
      </c>
      <c r="H70" s="37">
        <v>6</v>
      </c>
      <c r="I70" s="37">
        <v>8</v>
      </c>
      <c r="J70" s="37"/>
      <c r="K70" s="9" t="s">
        <v>202</v>
      </c>
      <c r="L70" s="81"/>
      <c r="M70" s="160">
        <f>AVERAGE(G70:G75)</f>
        <v>7.166666666666667</v>
      </c>
      <c r="N70" s="160">
        <f>AVERAGE(H70:H75)</f>
        <v>5.833333333333333</v>
      </c>
      <c r="O70" s="155">
        <f>AVERAGE(I70:I75)</f>
        <v>7.5</v>
      </c>
    </row>
    <row r="71" spans="2:15" ht="15" customHeight="1">
      <c r="B71" s="168"/>
      <c r="C71" s="146"/>
      <c r="D71" s="10" t="s">
        <v>24</v>
      </c>
      <c r="E71" s="10" t="s">
        <v>218</v>
      </c>
      <c r="F71" s="10" t="s">
        <v>219</v>
      </c>
      <c r="G71" s="27">
        <v>7</v>
      </c>
      <c r="H71" s="27">
        <v>6</v>
      </c>
      <c r="I71" s="27">
        <v>8</v>
      </c>
      <c r="J71" s="27"/>
      <c r="K71" s="10" t="s">
        <v>189</v>
      </c>
      <c r="L71" s="79"/>
      <c r="M71" s="161"/>
      <c r="N71" s="161"/>
      <c r="O71" s="155"/>
    </row>
    <row r="72" spans="2:15" ht="15" customHeight="1">
      <c r="B72" s="168"/>
      <c r="C72" s="146"/>
      <c r="D72" s="10" t="s">
        <v>28</v>
      </c>
      <c r="E72" s="10" t="s">
        <v>220</v>
      </c>
      <c r="F72" s="10" t="s">
        <v>221</v>
      </c>
      <c r="G72" s="11">
        <v>7</v>
      </c>
      <c r="H72" s="27">
        <v>5</v>
      </c>
      <c r="I72" s="27">
        <v>7</v>
      </c>
      <c r="J72" s="27"/>
      <c r="K72" s="10" t="s">
        <v>222</v>
      </c>
      <c r="L72" s="79"/>
      <c r="M72" s="161"/>
      <c r="N72" s="161"/>
      <c r="O72" s="155"/>
    </row>
    <row r="73" spans="2:15" ht="15" customHeight="1">
      <c r="B73" s="168"/>
      <c r="C73" s="146"/>
      <c r="D73" s="10" t="s">
        <v>32</v>
      </c>
      <c r="E73" s="10" t="s">
        <v>223</v>
      </c>
      <c r="F73" s="10" t="s">
        <v>224</v>
      </c>
      <c r="G73" s="27">
        <v>7</v>
      </c>
      <c r="H73" s="27">
        <v>6</v>
      </c>
      <c r="I73" s="27">
        <v>7</v>
      </c>
      <c r="J73" s="27"/>
      <c r="K73" s="10" t="s">
        <v>222</v>
      </c>
      <c r="L73" s="79"/>
      <c r="M73" s="161"/>
      <c r="N73" s="161"/>
      <c r="O73" s="155"/>
    </row>
    <row r="74" spans="2:15" ht="15" customHeight="1">
      <c r="B74" s="168"/>
      <c r="C74" s="146"/>
      <c r="D74" s="10" t="s">
        <v>36</v>
      </c>
      <c r="E74" s="10" t="s">
        <v>225</v>
      </c>
      <c r="F74" s="10" t="s">
        <v>226</v>
      </c>
      <c r="G74" s="27">
        <v>7</v>
      </c>
      <c r="H74" s="27">
        <v>6</v>
      </c>
      <c r="I74" s="27">
        <v>7</v>
      </c>
      <c r="J74" s="27"/>
      <c r="K74" s="10" t="s">
        <v>222</v>
      </c>
      <c r="L74" s="79"/>
      <c r="M74" s="161"/>
      <c r="N74" s="161"/>
      <c r="O74" s="155"/>
    </row>
    <row r="75" spans="2:15" ht="15" customHeight="1" thickBot="1">
      <c r="B75" s="168"/>
      <c r="C75" s="147"/>
      <c r="D75" s="41" t="s">
        <v>40</v>
      </c>
      <c r="E75" s="41" t="s">
        <v>227</v>
      </c>
      <c r="F75" s="41" t="s">
        <v>228</v>
      </c>
      <c r="G75" s="28">
        <v>8</v>
      </c>
      <c r="H75" s="28">
        <v>6</v>
      </c>
      <c r="I75" s="28">
        <v>8</v>
      </c>
      <c r="J75" s="28"/>
      <c r="K75" s="41" t="s">
        <v>229</v>
      </c>
      <c r="L75" s="79"/>
      <c r="M75" s="162"/>
      <c r="N75" s="162"/>
      <c r="O75" s="155"/>
    </row>
    <row r="76" spans="2:15" ht="15" customHeight="1">
      <c r="B76" s="168"/>
      <c r="C76" s="151" t="s">
        <v>230</v>
      </c>
      <c r="D76" s="6" t="s">
        <v>20</v>
      </c>
      <c r="E76" s="6" t="s">
        <v>231</v>
      </c>
      <c r="F76" s="6" t="s">
        <v>232</v>
      </c>
      <c r="G76" s="29">
        <v>8</v>
      </c>
      <c r="H76" s="29">
        <v>6</v>
      </c>
      <c r="I76" s="29">
        <v>8</v>
      </c>
      <c r="J76" s="29"/>
      <c r="K76" s="6" t="s">
        <v>233</v>
      </c>
      <c r="L76" s="80"/>
      <c r="M76" s="156">
        <f>AVERAGE(G76:G81)</f>
        <v>6.833333333333333</v>
      </c>
      <c r="N76" s="156">
        <f>AVERAGE(H76:H81)</f>
        <v>5.833333333333333</v>
      </c>
      <c r="O76" s="157">
        <f>AVERAGE(I76:I81)</f>
        <v>6.333333333333333</v>
      </c>
    </row>
    <row r="77" spans="2:15" ht="15" customHeight="1">
      <c r="B77" s="168"/>
      <c r="C77" s="152"/>
      <c r="D77" s="7" t="s">
        <v>24</v>
      </c>
      <c r="E77" s="7" t="s">
        <v>234</v>
      </c>
      <c r="F77" s="7" t="s">
        <v>235</v>
      </c>
      <c r="G77" s="25">
        <v>7</v>
      </c>
      <c r="H77" s="25">
        <v>6</v>
      </c>
      <c r="I77" s="25">
        <v>6</v>
      </c>
      <c r="J77" s="25"/>
      <c r="K77" s="7" t="s">
        <v>236</v>
      </c>
      <c r="L77" s="78"/>
      <c r="M77" s="158"/>
      <c r="N77" s="158"/>
      <c r="O77" s="157"/>
    </row>
    <row r="78" spans="2:15" ht="15" customHeight="1">
      <c r="B78" s="168"/>
      <c r="C78" s="152"/>
      <c r="D78" s="7" t="s">
        <v>28</v>
      </c>
      <c r="E78" s="7" t="s">
        <v>237</v>
      </c>
      <c r="F78" s="7" t="s">
        <v>238</v>
      </c>
      <c r="G78" s="25">
        <v>6</v>
      </c>
      <c r="H78" s="25">
        <v>6</v>
      </c>
      <c r="I78" s="25">
        <v>6</v>
      </c>
      <c r="J78" s="25"/>
      <c r="K78" s="7" t="s">
        <v>236</v>
      </c>
      <c r="L78" s="78"/>
      <c r="M78" s="158"/>
      <c r="N78" s="158"/>
      <c r="O78" s="157"/>
    </row>
    <row r="79" spans="2:15" ht="15" customHeight="1">
      <c r="B79" s="168"/>
      <c r="C79" s="152"/>
      <c r="D79" s="7" t="s">
        <v>32</v>
      </c>
      <c r="E79" s="7" t="s">
        <v>239</v>
      </c>
      <c r="F79" s="7" t="s">
        <v>240</v>
      </c>
      <c r="G79" s="25">
        <v>7</v>
      </c>
      <c r="H79" s="25">
        <v>5</v>
      </c>
      <c r="I79" s="25">
        <v>6</v>
      </c>
      <c r="J79" s="25"/>
      <c r="K79" s="7" t="s">
        <v>236</v>
      </c>
      <c r="L79" s="78"/>
      <c r="M79" s="158"/>
      <c r="N79" s="158"/>
      <c r="O79" s="157"/>
    </row>
    <row r="80" spans="2:15" ht="15" customHeight="1">
      <c r="B80" s="168"/>
      <c r="C80" s="152"/>
      <c r="D80" s="7" t="s">
        <v>36</v>
      </c>
      <c r="E80" s="7" t="s">
        <v>241</v>
      </c>
      <c r="F80" s="7" t="s">
        <v>242</v>
      </c>
      <c r="G80" s="25">
        <v>6</v>
      </c>
      <c r="H80" s="25">
        <v>6</v>
      </c>
      <c r="I80" s="25">
        <v>6</v>
      </c>
      <c r="J80" s="25"/>
      <c r="K80" s="7" t="s">
        <v>236</v>
      </c>
      <c r="L80" s="78"/>
      <c r="M80" s="158"/>
      <c r="N80" s="158"/>
      <c r="O80" s="157"/>
    </row>
    <row r="81" spans="2:15" ht="15" customHeight="1" thickBot="1">
      <c r="B81" s="168"/>
      <c r="C81" s="153"/>
      <c r="D81" s="40" t="s">
        <v>40</v>
      </c>
      <c r="E81" s="40" t="s">
        <v>243</v>
      </c>
      <c r="F81" s="40" t="s">
        <v>244</v>
      </c>
      <c r="G81" s="26">
        <v>7</v>
      </c>
      <c r="H81" s="26">
        <v>6</v>
      </c>
      <c r="I81" s="26">
        <v>6</v>
      </c>
      <c r="J81" s="26"/>
      <c r="K81" s="40" t="s">
        <v>236</v>
      </c>
      <c r="L81" s="78"/>
      <c r="M81" s="159"/>
      <c r="N81" s="159"/>
      <c r="O81" s="157"/>
    </row>
    <row r="82" spans="2:15" ht="15" customHeight="1">
      <c r="B82" s="168"/>
      <c r="C82" s="145" t="s">
        <v>245</v>
      </c>
      <c r="D82" s="9" t="s">
        <v>20</v>
      </c>
      <c r="E82" s="9" t="s">
        <v>246</v>
      </c>
      <c r="F82" s="9" t="s">
        <v>247</v>
      </c>
      <c r="G82" s="37">
        <v>8</v>
      </c>
      <c r="H82" s="37">
        <v>6</v>
      </c>
      <c r="I82" s="37">
        <v>8</v>
      </c>
      <c r="J82" s="37"/>
      <c r="K82" s="9" t="s">
        <v>233</v>
      </c>
      <c r="L82" s="81"/>
      <c r="M82" s="160">
        <f>AVERAGE(G82:G87)</f>
        <v>7.166666666666667</v>
      </c>
      <c r="N82" s="160">
        <f>AVERAGE(H82:H87)</f>
        <v>5.833333333333333</v>
      </c>
      <c r="O82" s="155">
        <f>AVERAGE(I82:I87)</f>
        <v>6.333333333333333</v>
      </c>
    </row>
    <row r="83" spans="2:15" ht="15" customHeight="1">
      <c r="B83" s="168"/>
      <c r="C83" s="146"/>
      <c r="D83" s="10" t="s">
        <v>24</v>
      </c>
      <c r="E83" s="10" t="s">
        <v>248</v>
      </c>
      <c r="F83" s="10" t="s">
        <v>249</v>
      </c>
      <c r="G83" s="27">
        <v>7</v>
      </c>
      <c r="H83" s="27">
        <v>6</v>
      </c>
      <c r="I83" s="27">
        <v>6</v>
      </c>
      <c r="J83" s="27"/>
      <c r="K83" s="10" t="s">
        <v>250</v>
      </c>
      <c r="L83" s="79"/>
      <c r="M83" s="161"/>
      <c r="N83" s="161"/>
      <c r="O83" s="155"/>
    </row>
    <row r="84" spans="2:15" ht="15" customHeight="1">
      <c r="B84" s="168"/>
      <c r="C84" s="146"/>
      <c r="D84" s="10" t="s">
        <v>28</v>
      </c>
      <c r="E84" s="10" t="s">
        <v>251</v>
      </c>
      <c r="F84" s="10" t="s">
        <v>252</v>
      </c>
      <c r="G84" s="27">
        <v>8</v>
      </c>
      <c r="H84" s="27">
        <v>6</v>
      </c>
      <c r="I84" s="27">
        <v>6</v>
      </c>
      <c r="J84" s="27"/>
      <c r="K84" s="10" t="s">
        <v>250</v>
      </c>
      <c r="L84" s="79"/>
      <c r="M84" s="161"/>
      <c r="N84" s="161"/>
      <c r="O84" s="155"/>
    </row>
    <row r="85" spans="2:15" ht="15" customHeight="1">
      <c r="B85" s="168"/>
      <c r="C85" s="146"/>
      <c r="D85" s="10" t="s">
        <v>32</v>
      </c>
      <c r="E85" s="10" t="s">
        <v>253</v>
      </c>
      <c r="F85" s="10" t="s">
        <v>254</v>
      </c>
      <c r="G85" s="27">
        <v>7</v>
      </c>
      <c r="H85" s="27">
        <v>5</v>
      </c>
      <c r="I85" s="27">
        <v>6</v>
      </c>
      <c r="J85" s="27"/>
      <c r="K85" s="10" t="s">
        <v>250</v>
      </c>
      <c r="L85" s="79"/>
      <c r="M85" s="161"/>
      <c r="N85" s="161"/>
      <c r="O85" s="155"/>
    </row>
    <row r="86" spans="2:15" ht="15" customHeight="1">
      <c r="B86" s="168"/>
      <c r="C86" s="146"/>
      <c r="D86" s="10" t="s">
        <v>36</v>
      </c>
      <c r="E86" s="10" t="s">
        <v>255</v>
      </c>
      <c r="F86" s="10" t="s">
        <v>256</v>
      </c>
      <c r="G86" s="27">
        <v>7</v>
      </c>
      <c r="H86" s="27">
        <v>6</v>
      </c>
      <c r="I86" s="27">
        <v>6</v>
      </c>
      <c r="J86" s="27"/>
      <c r="K86" s="10" t="s">
        <v>250</v>
      </c>
      <c r="L86" s="79"/>
      <c r="M86" s="161"/>
      <c r="N86" s="161"/>
      <c r="O86" s="155"/>
    </row>
    <row r="87" spans="2:15" ht="15" customHeight="1" thickBot="1">
      <c r="B87" s="168"/>
      <c r="C87" s="147"/>
      <c r="D87" s="41" t="s">
        <v>40</v>
      </c>
      <c r="E87" s="41" t="s">
        <v>257</v>
      </c>
      <c r="F87" s="41" t="s">
        <v>258</v>
      </c>
      <c r="G87" s="28">
        <v>6</v>
      </c>
      <c r="H87" s="28">
        <v>6</v>
      </c>
      <c r="I87" s="28">
        <v>6</v>
      </c>
      <c r="J87" s="28"/>
      <c r="K87" s="41" t="s">
        <v>250</v>
      </c>
      <c r="L87" s="79"/>
      <c r="M87" s="162"/>
      <c r="N87" s="162"/>
      <c r="O87" s="155"/>
    </row>
    <row r="88" spans="2:15" ht="15" customHeight="1">
      <c r="B88" s="168"/>
      <c r="C88" s="151" t="s">
        <v>259</v>
      </c>
      <c r="D88" s="6" t="s">
        <v>20</v>
      </c>
      <c r="E88" s="6" t="s">
        <v>260</v>
      </c>
      <c r="F88" s="6" t="s">
        <v>261</v>
      </c>
      <c r="G88" s="29">
        <v>6</v>
      </c>
      <c r="H88" s="29">
        <v>6</v>
      </c>
      <c r="I88" s="29">
        <v>8</v>
      </c>
      <c r="J88" s="29"/>
      <c r="K88" s="6" t="s">
        <v>262</v>
      </c>
      <c r="L88" s="80"/>
      <c r="M88" s="156">
        <f>AVERAGE(G88:G93)</f>
        <v>6</v>
      </c>
      <c r="N88" s="156">
        <f>AVERAGE(H88:H93)</f>
        <v>6</v>
      </c>
      <c r="O88" s="157">
        <f>AVERAGE(I88:I93)</f>
        <v>6.666666666666667</v>
      </c>
    </row>
    <row r="89" spans="2:15" ht="15" customHeight="1">
      <c r="B89" s="168"/>
      <c r="C89" s="152"/>
      <c r="D89" s="7" t="s">
        <v>24</v>
      </c>
      <c r="E89" s="7" t="s">
        <v>263</v>
      </c>
      <c r="F89" s="7" t="s">
        <v>264</v>
      </c>
      <c r="G89" s="25">
        <v>6</v>
      </c>
      <c r="H89" s="25">
        <v>6</v>
      </c>
      <c r="I89" s="25">
        <v>7</v>
      </c>
      <c r="J89" s="25"/>
      <c r="K89" s="7" t="s">
        <v>262</v>
      </c>
      <c r="L89" s="78"/>
      <c r="M89" s="158"/>
      <c r="N89" s="158"/>
      <c r="O89" s="157"/>
    </row>
    <row r="90" spans="2:15" ht="15" customHeight="1">
      <c r="B90" s="168"/>
      <c r="C90" s="152"/>
      <c r="D90" s="7" t="s">
        <v>28</v>
      </c>
      <c r="E90" s="7" t="s">
        <v>265</v>
      </c>
      <c r="F90" s="7" t="s">
        <v>266</v>
      </c>
      <c r="G90" s="25">
        <v>6</v>
      </c>
      <c r="H90" s="25">
        <v>6</v>
      </c>
      <c r="I90" s="25">
        <v>6</v>
      </c>
      <c r="J90" s="25"/>
      <c r="K90" s="7" t="s">
        <v>262</v>
      </c>
      <c r="L90" s="78"/>
      <c r="M90" s="158"/>
      <c r="N90" s="158"/>
      <c r="O90" s="157"/>
    </row>
    <row r="91" spans="2:15" ht="15" customHeight="1">
      <c r="B91" s="168"/>
      <c r="C91" s="152"/>
      <c r="D91" s="7" t="s">
        <v>32</v>
      </c>
      <c r="E91" s="7" t="s">
        <v>108</v>
      </c>
      <c r="F91" s="7" t="s">
        <v>267</v>
      </c>
      <c r="G91" s="25">
        <v>6</v>
      </c>
      <c r="H91" s="25">
        <v>6</v>
      </c>
      <c r="I91" s="25">
        <v>7</v>
      </c>
      <c r="J91" s="25"/>
      <c r="K91" s="7" t="s">
        <v>262</v>
      </c>
      <c r="L91" s="78"/>
      <c r="M91" s="158"/>
      <c r="N91" s="158"/>
      <c r="O91" s="157"/>
    </row>
    <row r="92" spans="2:15" ht="15" customHeight="1">
      <c r="B92" s="168"/>
      <c r="C92" s="152"/>
      <c r="D92" s="7" t="s">
        <v>36</v>
      </c>
      <c r="E92" s="7" t="s">
        <v>268</v>
      </c>
      <c r="F92" s="7" t="s">
        <v>269</v>
      </c>
      <c r="G92" s="25">
        <v>6</v>
      </c>
      <c r="H92" s="25">
        <v>6</v>
      </c>
      <c r="I92" s="25">
        <v>6</v>
      </c>
      <c r="J92" s="25"/>
      <c r="K92" s="7" t="s">
        <v>262</v>
      </c>
      <c r="L92" s="78"/>
      <c r="M92" s="158"/>
      <c r="N92" s="158"/>
      <c r="O92" s="157"/>
    </row>
    <row r="93" spans="2:15" ht="15" customHeight="1" thickBot="1">
      <c r="B93" s="168"/>
      <c r="C93" s="154"/>
      <c r="D93" s="39" t="s">
        <v>40</v>
      </c>
      <c r="E93" s="39" t="s">
        <v>270</v>
      </c>
      <c r="F93" s="39" t="s">
        <v>271</v>
      </c>
      <c r="G93" s="30">
        <v>6</v>
      </c>
      <c r="H93" s="30">
        <v>6</v>
      </c>
      <c r="I93" s="30">
        <v>6</v>
      </c>
      <c r="J93" s="30"/>
      <c r="K93" s="39" t="s">
        <v>262</v>
      </c>
      <c r="L93" s="82"/>
      <c r="M93" s="159"/>
      <c r="N93" s="159"/>
      <c r="O93" s="157"/>
    </row>
    <row r="94" spans="2:15" ht="15" customHeight="1">
      <c r="B94" s="168"/>
      <c r="C94" s="148" t="s">
        <v>272</v>
      </c>
      <c r="D94" s="58" t="s">
        <v>20</v>
      </c>
      <c r="E94" s="58" t="s">
        <v>273</v>
      </c>
      <c r="F94" s="58" t="s">
        <v>274</v>
      </c>
      <c r="G94" s="57">
        <v>6</v>
      </c>
      <c r="H94" s="57">
        <v>6</v>
      </c>
      <c r="I94" s="57">
        <v>8</v>
      </c>
      <c r="J94" s="57"/>
      <c r="K94" s="58" t="s">
        <v>262</v>
      </c>
      <c r="L94" s="83"/>
      <c r="M94" s="164">
        <f>AVERAGE(G94:G99)</f>
        <v>6</v>
      </c>
      <c r="N94" s="164">
        <f>AVERAGE(H94:H99)</f>
        <v>6</v>
      </c>
      <c r="O94" s="163">
        <f>AVERAGE(I94:I99)</f>
        <v>6.666666666666667</v>
      </c>
    </row>
    <row r="95" spans="2:15" ht="15" customHeight="1">
      <c r="B95" s="168"/>
      <c r="C95" s="149"/>
      <c r="D95" s="60" t="s">
        <v>24</v>
      </c>
      <c r="E95" s="60" t="s">
        <v>275</v>
      </c>
      <c r="F95" s="60" t="s">
        <v>276</v>
      </c>
      <c r="G95" s="59">
        <v>6</v>
      </c>
      <c r="H95" s="59">
        <v>6</v>
      </c>
      <c r="I95" s="59">
        <v>7</v>
      </c>
      <c r="J95" s="59"/>
      <c r="K95" s="60" t="s">
        <v>262</v>
      </c>
      <c r="L95" s="84"/>
      <c r="M95" s="165"/>
      <c r="N95" s="165"/>
      <c r="O95" s="163"/>
    </row>
    <row r="96" spans="2:15" ht="15" customHeight="1">
      <c r="B96" s="168"/>
      <c r="C96" s="149"/>
      <c r="D96" s="60" t="s">
        <v>28</v>
      </c>
      <c r="E96" s="60" t="s">
        <v>277</v>
      </c>
      <c r="F96" s="60" t="s">
        <v>278</v>
      </c>
      <c r="G96" s="59">
        <v>6</v>
      </c>
      <c r="H96" s="59">
        <v>6</v>
      </c>
      <c r="I96" s="59">
        <v>6</v>
      </c>
      <c r="J96" s="59"/>
      <c r="K96" s="60" t="s">
        <v>262</v>
      </c>
      <c r="L96" s="84"/>
      <c r="M96" s="165"/>
      <c r="N96" s="165"/>
      <c r="O96" s="163"/>
    </row>
    <row r="97" spans="2:15" ht="15" customHeight="1">
      <c r="B97" s="168"/>
      <c r="C97" s="149"/>
      <c r="D97" s="60" t="s">
        <v>32</v>
      </c>
      <c r="E97" s="60" t="s">
        <v>279</v>
      </c>
      <c r="F97" s="60" t="s">
        <v>280</v>
      </c>
      <c r="G97" s="59">
        <v>6</v>
      </c>
      <c r="H97" s="59">
        <v>6</v>
      </c>
      <c r="I97" s="59">
        <v>7</v>
      </c>
      <c r="J97" s="59"/>
      <c r="K97" s="60" t="s">
        <v>262</v>
      </c>
      <c r="L97" s="84"/>
      <c r="M97" s="165"/>
      <c r="N97" s="165"/>
      <c r="O97" s="163"/>
    </row>
    <row r="98" spans="2:15" ht="15" customHeight="1">
      <c r="B98" s="168"/>
      <c r="C98" s="149"/>
      <c r="D98" s="60" t="s">
        <v>36</v>
      </c>
      <c r="E98" s="60" t="s">
        <v>281</v>
      </c>
      <c r="F98" s="60" t="s">
        <v>282</v>
      </c>
      <c r="G98" s="59">
        <v>6</v>
      </c>
      <c r="H98" s="59">
        <v>6</v>
      </c>
      <c r="I98" s="59">
        <v>6</v>
      </c>
      <c r="J98" s="59"/>
      <c r="K98" s="60" t="s">
        <v>262</v>
      </c>
      <c r="L98" s="84"/>
      <c r="M98" s="165"/>
      <c r="N98" s="165"/>
      <c r="O98" s="163"/>
    </row>
    <row r="99" spans="2:15" ht="15" customHeight="1" thickBot="1">
      <c r="B99" s="169"/>
      <c r="C99" s="150"/>
      <c r="D99" s="62" t="s">
        <v>40</v>
      </c>
      <c r="E99" s="62" t="s">
        <v>283</v>
      </c>
      <c r="F99" s="62" t="s">
        <v>284</v>
      </c>
      <c r="G99" s="61">
        <v>6</v>
      </c>
      <c r="H99" s="61">
        <v>6</v>
      </c>
      <c r="I99" s="61">
        <v>6</v>
      </c>
      <c r="J99" s="61"/>
      <c r="K99" s="62" t="s">
        <v>262</v>
      </c>
      <c r="L99" s="85"/>
      <c r="M99" s="166"/>
      <c r="N99" s="166"/>
      <c r="O99" s="163"/>
    </row>
    <row r="100" spans="2:15">
      <c r="O100" s="13"/>
    </row>
    <row r="101" spans="2:15">
      <c r="O101" s="13"/>
    </row>
    <row r="102" spans="2:15">
      <c r="O102" s="13"/>
    </row>
  </sheetData>
  <autoFilter ref="B3:K99" xr:uid="{00000000-0001-0000-0200-000000000000}"/>
  <mergeCells count="66">
    <mergeCell ref="B4:B39"/>
    <mergeCell ref="B40:B99"/>
    <mergeCell ref="M58:M63"/>
    <mergeCell ref="N58:N63"/>
    <mergeCell ref="M64:M69"/>
    <mergeCell ref="N64:N69"/>
    <mergeCell ref="M70:M75"/>
    <mergeCell ref="N70:N75"/>
    <mergeCell ref="M46:M51"/>
    <mergeCell ref="N46:N51"/>
    <mergeCell ref="M52:M57"/>
    <mergeCell ref="N52:N57"/>
    <mergeCell ref="M28:M33"/>
    <mergeCell ref="N28:N33"/>
    <mergeCell ref="M10:M15"/>
    <mergeCell ref="N10:N15"/>
    <mergeCell ref="O82:O87"/>
    <mergeCell ref="O94:O99"/>
    <mergeCell ref="M76:M81"/>
    <mergeCell ref="N76:N81"/>
    <mergeCell ref="M82:M87"/>
    <mergeCell ref="N82:N87"/>
    <mergeCell ref="M94:M99"/>
    <mergeCell ref="N94:N99"/>
    <mergeCell ref="M88:M93"/>
    <mergeCell ref="N88:N93"/>
    <mergeCell ref="O88:O93"/>
    <mergeCell ref="O70:O75"/>
    <mergeCell ref="O76:O81"/>
    <mergeCell ref="O58:O63"/>
    <mergeCell ref="O64:O69"/>
    <mergeCell ref="O52:O57"/>
    <mergeCell ref="N22:N27"/>
    <mergeCell ref="O16:O21"/>
    <mergeCell ref="O40:O45"/>
    <mergeCell ref="O46:O51"/>
    <mergeCell ref="M34:M39"/>
    <mergeCell ref="N34:N39"/>
    <mergeCell ref="M40:M45"/>
    <mergeCell ref="N40:N45"/>
    <mergeCell ref="O34:O39"/>
    <mergeCell ref="O10:O15"/>
    <mergeCell ref="M4:M9"/>
    <mergeCell ref="N4:N9"/>
    <mergeCell ref="O4:O9"/>
    <mergeCell ref="C76:C81"/>
    <mergeCell ref="C34:C39"/>
    <mergeCell ref="C4:C9"/>
    <mergeCell ref="C10:C15"/>
    <mergeCell ref="C16:C21"/>
    <mergeCell ref="C22:C27"/>
    <mergeCell ref="C28:C33"/>
    <mergeCell ref="O22:O27"/>
    <mergeCell ref="O28:O33"/>
    <mergeCell ref="M16:M21"/>
    <mergeCell ref="N16:N21"/>
    <mergeCell ref="M22:M27"/>
    <mergeCell ref="C82:C87"/>
    <mergeCell ref="C94:C99"/>
    <mergeCell ref="C40:C45"/>
    <mergeCell ref="C46:C51"/>
    <mergeCell ref="C52:C57"/>
    <mergeCell ref="C58:C63"/>
    <mergeCell ref="C64:C69"/>
    <mergeCell ref="C70:C75"/>
    <mergeCell ref="C88:C9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0C0AF-9032-4FE6-A962-EDC33BF9B6D7}">
  <sheetPr>
    <tabColor theme="3" tint="0.499984740745262"/>
  </sheetPr>
  <dimension ref="B1:M15"/>
  <sheetViews>
    <sheetView topLeftCell="A8" zoomScale="85" zoomScaleNormal="85" workbookViewId="0">
      <selection activeCell="I18" sqref="I18"/>
    </sheetView>
  </sheetViews>
  <sheetFormatPr defaultRowHeight="14.45"/>
  <cols>
    <col min="2" max="2" width="15.140625" customWidth="1"/>
    <col min="3" max="3" width="12.42578125" style="32" customWidth="1"/>
    <col min="4" max="4" width="15.85546875" style="32" customWidth="1"/>
    <col min="5" max="5" width="14.5703125" style="32" customWidth="1"/>
    <col min="6" max="6" width="23.140625" style="32" hidden="1" customWidth="1"/>
    <col min="7" max="7" width="24.42578125" style="32" customWidth="1"/>
    <col min="8" max="8" width="28.5703125" style="32" customWidth="1"/>
    <col min="9" max="11" width="30.85546875" style="32" customWidth="1"/>
    <col min="12" max="12" width="30.140625" style="32" customWidth="1"/>
    <col min="13" max="13" width="30.85546875" customWidth="1"/>
  </cols>
  <sheetData>
    <row r="1" spans="2:13" ht="28.5">
      <c r="B1" s="31" t="s">
        <v>285</v>
      </c>
    </row>
    <row r="2" spans="2:13">
      <c r="B2" s="2" t="s">
        <v>286</v>
      </c>
    </row>
    <row r="3" spans="2:13">
      <c r="B3" s="33" t="s">
        <v>287</v>
      </c>
    </row>
    <row r="4" spans="2:13">
      <c r="E4" s="33"/>
    </row>
    <row r="5" spans="2:13" ht="41.65" customHeight="1">
      <c r="B5" s="34" t="s">
        <v>288</v>
      </c>
      <c r="C5" s="34" t="s">
        <v>289</v>
      </c>
      <c r="D5" s="34" t="s">
        <v>290</v>
      </c>
      <c r="E5" s="34" t="s">
        <v>291</v>
      </c>
      <c r="F5" s="34" t="s">
        <v>292</v>
      </c>
      <c r="G5" s="34" t="s">
        <v>293</v>
      </c>
      <c r="H5" s="34" t="s">
        <v>32</v>
      </c>
      <c r="I5" s="34" t="s">
        <v>24</v>
      </c>
      <c r="J5" s="34" t="s">
        <v>20</v>
      </c>
      <c r="K5" s="34" t="s">
        <v>40</v>
      </c>
      <c r="L5" s="34" t="s">
        <v>36</v>
      </c>
      <c r="M5" s="34" t="s">
        <v>28</v>
      </c>
    </row>
    <row r="6" spans="2:13" ht="57" customHeight="1">
      <c r="B6" s="175" t="s">
        <v>294</v>
      </c>
      <c r="C6" s="174" t="s">
        <v>295</v>
      </c>
      <c r="D6" s="170" t="s">
        <v>296</v>
      </c>
      <c r="E6" s="35">
        <v>1</v>
      </c>
      <c r="F6" s="36" t="s">
        <v>297</v>
      </c>
      <c r="G6" s="36" t="s">
        <v>298</v>
      </c>
      <c r="H6" s="36" t="s">
        <v>299</v>
      </c>
      <c r="I6" s="36" t="s">
        <v>300</v>
      </c>
      <c r="J6" s="36" t="s">
        <v>301</v>
      </c>
      <c r="K6" s="36" t="s">
        <v>302</v>
      </c>
      <c r="L6" s="36" t="s">
        <v>303</v>
      </c>
      <c r="M6" s="36" t="s">
        <v>304</v>
      </c>
    </row>
    <row r="7" spans="2:13" ht="57" customHeight="1">
      <c r="B7" s="176"/>
      <c r="C7" s="174"/>
      <c r="D7" s="171"/>
      <c r="E7" s="35">
        <v>2</v>
      </c>
      <c r="F7" s="36" t="s">
        <v>305</v>
      </c>
      <c r="G7" s="36" t="s">
        <v>306</v>
      </c>
      <c r="H7" s="36" t="s">
        <v>307</v>
      </c>
      <c r="I7" s="36" t="s">
        <v>308</v>
      </c>
      <c r="J7" s="36" t="s">
        <v>309</v>
      </c>
      <c r="K7" s="36" t="s">
        <v>310</v>
      </c>
      <c r="L7" s="36" t="s">
        <v>311</v>
      </c>
      <c r="M7" s="36" t="s">
        <v>312</v>
      </c>
    </row>
    <row r="8" spans="2:13" ht="57" customHeight="1">
      <c r="B8" s="176"/>
      <c r="C8" s="174"/>
      <c r="D8" s="171"/>
      <c r="E8" s="35">
        <v>3</v>
      </c>
      <c r="F8" s="36" t="s">
        <v>313</v>
      </c>
      <c r="G8" s="36" t="s">
        <v>314</v>
      </c>
      <c r="H8" s="36" t="s">
        <v>315</v>
      </c>
      <c r="I8" s="36" t="s">
        <v>316</v>
      </c>
      <c r="J8" s="36" t="s">
        <v>317</v>
      </c>
      <c r="K8" s="36" t="s">
        <v>318</v>
      </c>
      <c r="L8" s="36" t="s">
        <v>319</v>
      </c>
      <c r="M8" s="36" t="s">
        <v>320</v>
      </c>
    </row>
    <row r="9" spans="2:13" ht="57" customHeight="1">
      <c r="B9" s="177"/>
      <c r="C9" s="174"/>
      <c r="D9" s="172"/>
      <c r="E9" s="35">
        <v>4</v>
      </c>
      <c r="F9" s="36" t="s">
        <v>321</v>
      </c>
      <c r="G9" s="36" t="s">
        <v>322</v>
      </c>
      <c r="H9" s="36" t="s">
        <v>323</v>
      </c>
      <c r="I9" s="36" t="s">
        <v>324</v>
      </c>
      <c r="J9" s="36" t="s">
        <v>325</v>
      </c>
      <c r="K9" s="36" t="s">
        <v>326</v>
      </c>
      <c r="L9" s="36" t="s">
        <v>327</v>
      </c>
      <c r="M9" s="36" t="s">
        <v>328</v>
      </c>
    </row>
    <row r="10" spans="2:13" ht="57" customHeight="1">
      <c r="B10" s="71" t="s">
        <v>329</v>
      </c>
      <c r="C10" s="71" t="s">
        <v>329</v>
      </c>
      <c r="D10" s="70" t="s">
        <v>330</v>
      </c>
      <c r="E10" s="35">
        <v>5</v>
      </c>
      <c r="F10" s="36" t="s">
        <v>331</v>
      </c>
      <c r="G10" s="36" t="s">
        <v>332</v>
      </c>
      <c r="H10" s="36" t="s">
        <v>333</v>
      </c>
      <c r="I10" s="36" t="s">
        <v>334</v>
      </c>
      <c r="J10" s="36" t="s">
        <v>335</v>
      </c>
      <c r="K10" s="36" t="s">
        <v>336</v>
      </c>
      <c r="L10" s="36" t="s">
        <v>337</v>
      </c>
      <c r="M10" s="36" t="s">
        <v>338</v>
      </c>
    </row>
    <row r="11" spans="2:13" ht="57" customHeight="1">
      <c r="B11" s="71" t="s">
        <v>339</v>
      </c>
      <c r="C11" s="71" t="s">
        <v>340</v>
      </c>
      <c r="D11" s="171"/>
      <c r="E11" s="35">
        <v>6</v>
      </c>
      <c r="F11" s="36" t="s">
        <v>341</v>
      </c>
      <c r="G11" s="36" t="s">
        <v>342</v>
      </c>
      <c r="H11" s="36" t="s">
        <v>343</v>
      </c>
      <c r="I11" s="36" t="s">
        <v>344</v>
      </c>
      <c r="J11" s="36" t="s">
        <v>345</v>
      </c>
      <c r="K11" s="36" t="s">
        <v>346</v>
      </c>
      <c r="L11" s="36" t="s">
        <v>347</v>
      </c>
      <c r="M11" s="36" t="s">
        <v>348</v>
      </c>
    </row>
    <row r="12" spans="2:13" ht="57" customHeight="1">
      <c r="B12" s="173" t="s">
        <v>349</v>
      </c>
      <c r="C12" s="174" t="s">
        <v>350</v>
      </c>
      <c r="D12" s="171"/>
      <c r="E12" s="35">
        <v>7</v>
      </c>
      <c r="F12" s="36" t="s">
        <v>351</v>
      </c>
      <c r="G12" s="36" t="s">
        <v>352</v>
      </c>
      <c r="H12" s="36" t="s">
        <v>353</v>
      </c>
      <c r="I12" s="36" t="s">
        <v>354</v>
      </c>
      <c r="J12" s="36" t="s">
        <v>355</v>
      </c>
      <c r="K12" s="36" t="s">
        <v>356</v>
      </c>
      <c r="L12" s="36" t="s">
        <v>357</v>
      </c>
      <c r="M12" s="36" t="s">
        <v>358</v>
      </c>
    </row>
    <row r="13" spans="2:13" ht="57" customHeight="1">
      <c r="B13" s="173"/>
      <c r="C13" s="174"/>
      <c r="D13" s="171"/>
      <c r="E13" s="35">
        <v>8</v>
      </c>
      <c r="F13" s="36" t="s">
        <v>359</v>
      </c>
      <c r="G13" s="36" t="s">
        <v>360</v>
      </c>
      <c r="H13" s="36" t="s">
        <v>361</v>
      </c>
      <c r="I13" s="36" t="s">
        <v>362</v>
      </c>
      <c r="J13" s="36" t="s">
        <v>363</v>
      </c>
      <c r="K13" s="36" t="s">
        <v>364</v>
      </c>
      <c r="L13" s="36" t="s">
        <v>365</v>
      </c>
      <c r="M13" s="36" t="s">
        <v>366</v>
      </c>
    </row>
    <row r="14" spans="2:13" ht="57" customHeight="1">
      <c r="B14" s="173" t="s">
        <v>367</v>
      </c>
      <c r="C14" s="174" t="s">
        <v>368</v>
      </c>
      <c r="D14" s="171"/>
      <c r="E14" s="35">
        <v>9</v>
      </c>
      <c r="F14" s="36" t="s">
        <v>369</v>
      </c>
      <c r="G14" s="36" t="s">
        <v>370</v>
      </c>
      <c r="H14" s="36" t="s">
        <v>371</v>
      </c>
      <c r="I14" s="36" t="s">
        <v>372</v>
      </c>
      <c r="J14" s="36" t="s">
        <v>373</v>
      </c>
      <c r="K14" s="36" t="s">
        <v>374</v>
      </c>
      <c r="L14" s="36" t="s">
        <v>375</v>
      </c>
      <c r="M14" s="36" t="s">
        <v>376</v>
      </c>
    </row>
    <row r="15" spans="2:13" ht="57" customHeight="1">
      <c r="B15" s="173"/>
      <c r="C15" s="174"/>
      <c r="D15" s="172"/>
      <c r="E15" s="35">
        <v>10</v>
      </c>
      <c r="F15" s="36" t="s">
        <v>377</v>
      </c>
      <c r="G15" s="36" t="s">
        <v>378</v>
      </c>
      <c r="H15" s="36" t="s">
        <v>379</v>
      </c>
      <c r="I15" s="36" t="s">
        <v>380</v>
      </c>
      <c r="J15" s="36" t="s">
        <v>381</v>
      </c>
      <c r="K15" s="36" t="s">
        <v>382</v>
      </c>
      <c r="L15" s="36" t="s">
        <v>383</v>
      </c>
      <c r="M15" s="36" t="s">
        <v>384</v>
      </c>
    </row>
  </sheetData>
  <mergeCells count="8">
    <mergeCell ref="D6:D9"/>
    <mergeCell ref="B14:B15"/>
    <mergeCell ref="C14:C15"/>
    <mergeCell ref="B6:B9"/>
    <mergeCell ref="C6:C9"/>
    <mergeCell ref="B12:B13"/>
    <mergeCell ref="C12:C13"/>
    <mergeCell ref="D11:D15"/>
  </mergeCells>
  <conditionalFormatting sqref="E6:E15">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6CA3E-65F1-43D6-871F-6AA07067A7B6}">
  <sheetPr>
    <tabColor rgb="FF00B050"/>
  </sheetPr>
  <dimension ref="C1:P135"/>
  <sheetViews>
    <sheetView topLeftCell="A22" zoomScale="85" zoomScaleNormal="85" workbookViewId="0">
      <selection activeCell="G137" sqref="G137"/>
    </sheetView>
  </sheetViews>
  <sheetFormatPr defaultRowHeight="14.45"/>
  <cols>
    <col min="3" max="3" width="8.42578125" style="1" bestFit="1" customWidth="1"/>
    <col min="4" max="4" width="39.28515625" customWidth="1"/>
    <col min="5" max="5" width="35.7109375" customWidth="1"/>
    <col min="6" max="6" width="37.85546875" customWidth="1"/>
    <col min="7" max="7" width="134.42578125" customWidth="1"/>
    <col min="8" max="10" width="7.5703125" style="11" customWidth="1"/>
    <col min="11" max="11" width="30.7109375" style="11" customWidth="1"/>
    <col min="12" max="12" width="59" style="12" bestFit="1" customWidth="1"/>
    <col min="13" max="13" width="10.42578125" style="12" customWidth="1"/>
    <col min="14" max="15" width="11.140625" style="12" customWidth="1"/>
    <col min="16" max="16" width="11.140625" style="4" customWidth="1"/>
  </cols>
  <sheetData>
    <row r="1" spans="3:16" ht="36">
      <c r="C1" s="91" t="s">
        <v>385</v>
      </c>
      <c r="H1" s="38" t="s">
        <v>386</v>
      </c>
      <c r="I1" s="38" t="s">
        <v>387</v>
      </c>
      <c r="J1" s="38" t="s">
        <v>388</v>
      </c>
      <c r="K1" s="38"/>
    </row>
    <row r="2" spans="3:16" ht="35.65" customHeight="1">
      <c r="C2" s="46" t="s">
        <v>4</v>
      </c>
      <c r="D2" s="49" t="s">
        <v>5</v>
      </c>
      <c r="E2" s="49" t="s">
        <v>389</v>
      </c>
      <c r="F2" s="143" t="s">
        <v>7</v>
      </c>
      <c r="G2" s="143" t="s">
        <v>8</v>
      </c>
      <c r="H2" s="93" t="s">
        <v>9</v>
      </c>
      <c r="I2" s="94" t="s">
        <v>10</v>
      </c>
      <c r="J2" s="93" t="s">
        <v>11</v>
      </c>
      <c r="K2" s="95" t="s">
        <v>390</v>
      </c>
      <c r="L2" s="96" t="s">
        <v>391</v>
      </c>
      <c r="M2" s="95" t="s">
        <v>14</v>
      </c>
      <c r="N2" s="95" t="s">
        <v>15</v>
      </c>
      <c r="O2" s="93" t="s">
        <v>16</v>
      </c>
      <c r="P2" s="93" t="s">
        <v>17</v>
      </c>
    </row>
    <row r="3" spans="3:16" ht="18" customHeight="1">
      <c r="C3" s="142" t="s">
        <v>18</v>
      </c>
      <c r="D3" s="141" t="s">
        <v>392</v>
      </c>
      <c r="E3" s="141" t="s">
        <v>393</v>
      </c>
      <c r="F3" s="144" t="s">
        <v>394</v>
      </c>
      <c r="G3" s="144" t="s">
        <v>395</v>
      </c>
      <c r="H3" s="92">
        <v>6</v>
      </c>
      <c r="I3" s="92">
        <v>5</v>
      </c>
      <c r="J3" s="92">
        <v>5</v>
      </c>
      <c r="K3" s="92"/>
      <c r="L3" s="7" t="s">
        <v>23</v>
      </c>
      <c r="M3" s="8"/>
      <c r="N3" s="180">
        <f>AVERAGE(H3:H9)</f>
        <v>5.8571428571428568</v>
      </c>
      <c r="O3" s="180">
        <f>AVERAGE(I3:I9)</f>
        <v>5.5714285714285712</v>
      </c>
      <c r="P3" s="180">
        <f>AVERAGE(J3:J9)</f>
        <v>5.5714285714285712</v>
      </c>
    </row>
    <row r="4" spans="3:16" ht="18" customHeight="1">
      <c r="C4" s="142" t="s">
        <v>18</v>
      </c>
      <c r="D4" s="141" t="s">
        <v>392</v>
      </c>
      <c r="E4" s="141" t="s">
        <v>396</v>
      </c>
      <c r="F4" s="144" t="s">
        <v>397</v>
      </c>
      <c r="G4" s="144" t="s">
        <v>398</v>
      </c>
      <c r="H4" s="19">
        <v>5</v>
      </c>
      <c r="I4" s="19">
        <v>5</v>
      </c>
      <c r="J4" s="19">
        <v>5</v>
      </c>
      <c r="K4" s="19"/>
      <c r="L4" s="7" t="s">
        <v>399</v>
      </c>
      <c r="M4" s="8"/>
      <c r="N4" s="158"/>
      <c r="O4" s="158"/>
      <c r="P4" s="158"/>
    </row>
    <row r="5" spans="3:16" ht="18" customHeight="1">
      <c r="C5" s="142" t="s">
        <v>18</v>
      </c>
      <c r="D5" s="141" t="s">
        <v>392</v>
      </c>
      <c r="E5" s="141" t="s">
        <v>400</v>
      </c>
      <c r="F5" s="144" t="s">
        <v>401</v>
      </c>
      <c r="G5" s="144" t="s">
        <v>402</v>
      </c>
      <c r="H5" s="19">
        <v>6</v>
      </c>
      <c r="I5" s="19">
        <v>6</v>
      </c>
      <c r="J5" s="19">
        <v>6</v>
      </c>
      <c r="K5" s="19"/>
      <c r="L5" s="7" t="s">
        <v>27</v>
      </c>
      <c r="M5" s="8"/>
      <c r="N5" s="158"/>
      <c r="O5" s="158"/>
      <c r="P5" s="158"/>
    </row>
    <row r="6" spans="3:16" ht="18" customHeight="1">
      <c r="C6" s="142" t="s">
        <v>18</v>
      </c>
      <c r="D6" s="141" t="s">
        <v>392</v>
      </c>
      <c r="E6" s="141" t="s">
        <v>403</v>
      </c>
      <c r="F6" s="144" t="s">
        <v>404</v>
      </c>
      <c r="G6" s="144" t="s">
        <v>405</v>
      </c>
      <c r="H6" s="19">
        <v>6</v>
      </c>
      <c r="I6" s="19">
        <v>5</v>
      </c>
      <c r="J6" s="19">
        <v>5</v>
      </c>
      <c r="K6" s="19"/>
      <c r="L6" s="7" t="s">
        <v>31</v>
      </c>
      <c r="M6" s="8"/>
      <c r="N6" s="158"/>
      <c r="O6" s="158"/>
      <c r="P6" s="158"/>
    </row>
    <row r="7" spans="3:16" ht="18" customHeight="1">
      <c r="C7" s="142" t="s">
        <v>18</v>
      </c>
      <c r="D7" s="141" t="s">
        <v>392</v>
      </c>
      <c r="E7" s="141" t="s">
        <v>406</v>
      </c>
      <c r="F7" s="144" t="s">
        <v>407</v>
      </c>
      <c r="G7" s="144" t="s">
        <v>408</v>
      </c>
      <c r="H7" s="19">
        <v>6</v>
      </c>
      <c r="I7" s="19">
        <v>6</v>
      </c>
      <c r="J7" s="19">
        <v>6</v>
      </c>
      <c r="K7" s="19"/>
      <c r="L7" s="7" t="s">
        <v>35</v>
      </c>
      <c r="M7" s="8"/>
      <c r="N7" s="158"/>
      <c r="O7" s="158"/>
      <c r="P7" s="158"/>
    </row>
    <row r="8" spans="3:16" ht="18" customHeight="1">
      <c r="C8" s="142" t="s">
        <v>18</v>
      </c>
      <c r="D8" s="141" t="s">
        <v>392</v>
      </c>
      <c r="E8" s="141" t="s">
        <v>409</v>
      </c>
      <c r="F8" s="144" t="s">
        <v>410</v>
      </c>
      <c r="G8" s="144" t="s">
        <v>411</v>
      </c>
      <c r="H8" s="19">
        <v>6</v>
      </c>
      <c r="I8" s="19">
        <v>6</v>
      </c>
      <c r="J8" s="19">
        <v>6</v>
      </c>
      <c r="K8" s="19"/>
      <c r="L8" s="7" t="s">
        <v>39</v>
      </c>
      <c r="M8" s="8"/>
      <c r="N8" s="158"/>
      <c r="O8" s="158"/>
      <c r="P8" s="158"/>
    </row>
    <row r="9" spans="3:16" ht="18" customHeight="1">
      <c r="C9" s="142" t="s">
        <v>18</v>
      </c>
      <c r="D9" s="141" t="s">
        <v>392</v>
      </c>
      <c r="E9" s="141" t="s">
        <v>412</v>
      </c>
      <c r="F9" s="144" t="s">
        <v>413</v>
      </c>
      <c r="G9" s="144" t="s">
        <v>414</v>
      </c>
      <c r="H9" s="19">
        <v>6</v>
      </c>
      <c r="I9" s="19">
        <v>6</v>
      </c>
      <c r="J9" s="19">
        <v>6</v>
      </c>
      <c r="K9" s="19"/>
      <c r="L9" s="7" t="s">
        <v>43</v>
      </c>
      <c r="M9" s="8"/>
      <c r="N9" s="181"/>
      <c r="O9" s="181"/>
      <c r="P9" s="181"/>
    </row>
    <row r="10" spans="3:16" ht="18" customHeight="1">
      <c r="C10" s="35" t="s">
        <v>18</v>
      </c>
      <c r="D10" s="36" t="s">
        <v>415</v>
      </c>
      <c r="E10" s="36" t="s">
        <v>393</v>
      </c>
      <c r="F10" s="129" t="s">
        <v>416</v>
      </c>
      <c r="G10" s="129" t="s">
        <v>417</v>
      </c>
      <c r="H10" s="22">
        <v>5</v>
      </c>
      <c r="I10" s="22">
        <v>5</v>
      </c>
      <c r="J10" s="22">
        <v>5</v>
      </c>
      <c r="K10" s="22"/>
      <c r="L10" s="10" t="s">
        <v>47</v>
      </c>
      <c r="M10" s="14"/>
      <c r="N10" s="182">
        <f>AVERAGE(H10:H16)</f>
        <v>6.1428571428571432</v>
      </c>
      <c r="O10" s="182">
        <f>AVERAGE(I10:I16)</f>
        <v>5.7142857142857144</v>
      </c>
      <c r="P10" s="182">
        <f>AVERAGE(J10:J16)</f>
        <v>6</v>
      </c>
    </row>
    <row r="11" spans="3:16" ht="18" customHeight="1">
      <c r="C11" s="35" t="s">
        <v>18</v>
      </c>
      <c r="D11" s="36" t="s">
        <v>415</v>
      </c>
      <c r="E11" s="36" t="s">
        <v>396</v>
      </c>
      <c r="F11" s="129" t="s">
        <v>418</v>
      </c>
      <c r="G11" s="129" t="s">
        <v>419</v>
      </c>
      <c r="H11" s="22">
        <v>7</v>
      </c>
      <c r="I11" s="22">
        <v>7</v>
      </c>
      <c r="J11" s="22">
        <v>7</v>
      </c>
      <c r="K11" s="22"/>
      <c r="L11" s="10" t="s">
        <v>420</v>
      </c>
      <c r="M11" s="14"/>
      <c r="N11" s="161"/>
      <c r="O11" s="161"/>
      <c r="P11" s="161"/>
    </row>
    <row r="12" spans="3:16" ht="18" customHeight="1">
      <c r="C12" s="35" t="s">
        <v>18</v>
      </c>
      <c r="D12" s="36" t="s">
        <v>415</v>
      </c>
      <c r="E12" s="36" t="s">
        <v>400</v>
      </c>
      <c r="F12" s="129" t="s">
        <v>421</v>
      </c>
      <c r="G12" s="129" t="s">
        <v>422</v>
      </c>
      <c r="H12" s="22">
        <v>7</v>
      </c>
      <c r="I12" s="22">
        <v>6</v>
      </c>
      <c r="J12" s="22">
        <v>7</v>
      </c>
      <c r="K12" s="22"/>
      <c r="L12" s="10" t="s">
        <v>50</v>
      </c>
      <c r="M12" s="14"/>
      <c r="N12" s="161"/>
      <c r="O12" s="161"/>
      <c r="P12" s="161"/>
    </row>
    <row r="13" spans="3:16" ht="18" customHeight="1">
      <c r="C13" s="35" t="s">
        <v>18</v>
      </c>
      <c r="D13" s="36" t="s">
        <v>415</v>
      </c>
      <c r="E13" s="36" t="s">
        <v>403</v>
      </c>
      <c r="F13" s="129" t="s">
        <v>423</v>
      </c>
      <c r="G13" s="129" t="s">
        <v>424</v>
      </c>
      <c r="H13" s="22">
        <v>6</v>
      </c>
      <c r="I13" s="22">
        <v>5</v>
      </c>
      <c r="J13" s="22">
        <v>5</v>
      </c>
      <c r="K13" s="22"/>
      <c r="L13" s="10" t="s">
        <v>53</v>
      </c>
      <c r="M13" s="14"/>
      <c r="N13" s="161"/>
      <c r="O13" s="161"/>
      <c r="P13" s="161"/>
    </row>
    <row r="14" spans="3:16" ht="18" customHeight="1">
      <c r="C14" s="35" t="s">
        <v>18</v>
      </c>
      <c r="D14" s="36" t="s">
        <v>415</v>
      </c>
      <c r="E14" s="36" t="s">
        <v>406</v>
      </c>
      <c r="F14" s="129" t="s">
        <v>425</v>
      </c>
      <c r="G14" s="129" t="s">
        <v>426</v>
      </c>
      <c r="H14" s="22">
        <v>6</v>
      </c>
      <c r="I14" s="22">
        <v>6</v>
      </c>
      <c r="J14" s="22">
        <v>7</v>
      </c>
      <c r="K14" s="22"/>
      <c r="L14" s="10" t="s">
        <v>56</v>
      </c>
      <c r="M14" s="14"/>
      <c r="N14" s="161"/>
      <c r="O14" s="161"/>
      <c r="P14" s="161"/>
    </row>
    <row r="15" spans="3:16" ht="18" customHeight="1">
      <c r="C15" s="35" t="s">
        <v>18</v>
      </c>
      <c r="D15" s="36" t="s">
        <v>415</v>
      </c>
      <c r="E15" s="36" t="s">
        <v>409</v>
      </c>
      <c r="F15" s="129" t="s">
        <v>427</v>
      </c>
      <c r="G15" s="129" t="s">
        <v>428</v>
      </c>
      <c r="H15" s="22">
        <v>6</v>
      </c>
      <c r="I15" s="22">
        <v>5</v>
      </c>
      <c r="J15" s="22">
        <v>5</v>
      </c>
      <c r="K15" s="22"/>
      <c r="L15" s="10" t="s">
        <v>59</v>
      </c>
      <c r="M15" s="14"/>
      <c r="N15" s="161"/>
      <c r="O15" s="161"/>
      <c r="P15" s="161"/>
    </row>
    <row r="16" spans="3:16" ht="18" customHeight="1">
      <c r="C16" s="35" t="s">
        <v>18</v>
      </c>
      <c r="D16" s="36" t="s">
        <v>415</v>
      </c>
      <c r="E16" s="36" t="s">
        <v>412</v>
      </c>
      <c r="F16" s="129" t="s">
        <v>429</v>
      </c>
      <c r="G16" s="129" t="s">
        <v>430</v>
      </c>
      <c r="H16" s="22">
        <v>6</v>
      </c>
      <c r="I16" s="22">
        <v>6</v>
      </c>
      <c r="J16" s="22">
        <v>6</v>
      </c>
      <c r="K16" s="22"/>
      <c r="L16" s="10" t="s">
        <v>43</v>
      </c>
      <c r="M16" s="14"/>
      <c r="N16" s="183"/>
      <c r="O16" s="183"/>
      <c r="P16" s="183"/>
    </row>
    <row r="17" spans="3:16" ht="18" customHeight="1">
      <c r="C17" s="142" t="s">
        <v>18</v>
      </c>
      <c r="D17" s="141" t="s">
        <v>431</v>
      </c>
      <c r="E17" s="141" t="s">
        <v>393</v>
      </c>
      <c r="F17" s="144" t="s">
        <v>432</v>
      </c>
      <c r="G17" s="144" t="s">
        <v>433</v>
      </c>
      <c r="H17" s="19">
        <v>6</v>
      </c>
      <c r="I17" s="25">
        <v>5</v>
      </c>
      <c r="J17" s="19">
        <v>7</v>
      </c>
      <c r="K17" s="19"/>
      <c r="L17" s="7" t="s">
        <v>65</v>
      </c>
      <c r="M17" s="8"/>
      <c r="N17" s="180">
        <f>AVERAGE(H17:H23)</f>
        <v>6</v>
      </c>
      <c r="O17" s="180">
        <f>AVERAGE(I17:I23)</f>
        <v>5.8571428571428568</v>
      </c>
      <c r="P17" s="180">
        <f>AVERAGE(J17:J23)</f>
        <v>6.4285714285714288</v>
      </c>
    </row>
    <row r="18" spans="3:16" ht="18" customHeight="1">
      <c r="C18" s="142" t="s">
        <v>18</v>
      </c>
      <c r="D18" s="141" t="s">
        <v>431</v>
      </c>
      <c r="E18" s="141" t="s">
        <v>396</v>
      </c>
      <c r="F18" s="144" t="s">
        <v>434</v>
      </c>
      <c r="G18" s="144" t="s">
        <v>435</v>
      </c>
      <c r="H18" s="19">
        <v>6</v>
      </c>
      <c r="I18" s="25">
        <v>6</v>
      </c>
      <c r="J18" s="19">
        <v>6</v>
      </c>
      <c r="K18" s="19"/>
      <c r="L18" s="7" t="s">
        <v>436</v>
      </c>
      <c r="M18" s="8"/>
      <c r="N18" s="158"/>
      <c r="O18" s="158"/>
      <c r="P18" s="158"/>
    </row>
    <row r="19" spans="3:16" ht="18" customHeight="1">
      <c r="C19" s="142" t="s">
        <v>18</v>
      </c>
      <c r="D19" s="141" t="s">
        <v>431</v>
      </c>
      <c r="E19" s="141" t="s">
        <v>400</v>
      </c>
      <c r="F19" s="144" t="s">
        <v>437</v>
      </c>
      <c r="G19" s="144" t="s">
        <v>438</v>
      </c>
      <c r="H19" s="19">
        <v>6</v>
      </c>
      <c r="I19" s="25">
        <v>6</v>
      </c>
      <c r="J19" s="19">
        <v>7</v>
      </c>
      <c r="K19" s="19"/>
      <c r="L19" s="7" t="s">
        <v>68</v>
      </c>
      <c r="M19" s="8"/>
      <c r="N19" s="158"/>
      <c r="O19" s="158"/>
      <c r="P19" s="158"/>
    </row>
    <row r="20" spans="3:16" ht="18" customHeight="1">
      <c r="C20" s="142" t="s">
        <v>18</v>
      </c>
      <c r="D20" s="141" t="s">
        <v>431</v>
      </c>
      <c r="E20" s="141" t="s">
        <v>403</v>
      </c>
      <c r="F20" s="144" t="s">
        <v>439</v>
      </c>
      <c r="G20" s="144" t="s">
        <v>440</v>
      </c>
      <c r="H20" s="19">
        <v>6</v>
      </c>
      <c r="I20" s="25">
        <v>6</v>
      </c>
      <c r="J20" s="19">
        <v>6</v>
      </c>
      <c r="K20" s="19"/>
      <c r="L20" s="7" t="s">
        <v>71</v>
      </c>
      <c r="M20" s="8"/>
      <c r="N20" s="158"/>
      <c r="O20" s="158"/>
      <c r="P20" s="158"/>
    </row>
    <row r="21" spans="3:16" ht="18" customHeight="1">
      <c r="C21" s="142" t="s">
        <v>18</v>
      </c>
      <c r="D21" s="141" t="s">
        <v>431</v>
      </c>
      <c r="E21" s="141" t="s">
        <v>406</v>
      </c>
      <c r="F21" s="144" t="s">
        <v>441</v>
      </c>
      <c r="G21" s="144" t="s">
        <v>442</v>
      </c>
      <c r="H21" s="19">
        <v>6</v>
      </c>
      <c r="I21" s="25">
        <v>6</v>
      </c>
      <c r="J21" s="19">
        <v>6</v>
      </c>
      <c r="K21" s="19"/>
      <c r="L21" s="7" t="s">
        <v>74</v>
      </c>
      <c r="M21" s="8"/>
      <c r="N21" s="158"/>
      <c r="O21" s="158"/>
      <c r="P21" s="158"/>
    </row>
    <row r="22" spans="3:16" ht="18" customHeight="1">
      <c r="C22" s="142" t="s">
        <v>18</v>
      </c>
      <c r="D22" s="141" t="s">
        <v>431</v>
      </c>
      <c r="E22" s="141" t="s">
        <v>409</v>
      </c>
      <c r="F22" s="144" t="s">
        <v>443</v>
      </c>
      <c r="G22" s="144" t="s">
        <v>444</v>
      </c>
      <c r="H22" s="19">
        <v>6</v>
      </c>
      <c r="I22" s="25">
        <v>6</v>
      </c>
      <c r="J22" s="19">
        <v>6</v>
      </c>
      <c r="K22" s="19"/>
      <c r="L22" s="7" t="s">
        <v>77</v>
      </c>
      <c r="M22" s="8"/>
      <c r="N22" s="158"/>
      <c r="O22" s="158"/>
      <c r="P22" s="158"/>
    </row>
    <row r="23" spans="3:16" ht="18" customHeight="1">
      <c r="C23" s="142" t="s">
        <v>18</v>
      </c>
      <c r="D23" s="141" t="s">
        <v>431</v>
      </c>
      <c r="E23" s="141" t="s">
        <v>412</v>
      </c>
      <c r="F23" s="144" t="s">
        <v>445</v>
      </c>
      <c r="G23" s="144" t="s">
        <v>446</v>
      </c>
      <c r="H23" s="19">
        <v>6</v>
      </c>
      <c r="I23" s="25">
        <v>6</v>
      </c>
      <c r="J23" s="19">
        <v>7</v>
      </c>
      <c r="K23" s="19"/>
      <c r="L23" s="7" t="s">
        <v>80</v>
      </c>
      <c r="M23" s="8"/>
      <c r="N23" s="181"/>
      <c r="O23" s="181"/>
      <c r="P23" s="181"/>
    </row>
    <row r="24" spans="3:16" ht="18" customHeight="1">
      <c r="C24" s="35" t="s">
        <v>18</v>
      </c>
      <c r="D24" s="36" t="s">
        <v>447</v>
      </c>
      <c r="E24" s="36" t="s">
        <v>393</v>
      </c>
      <c r="F24" s="129" t="s">
        <v>448</v>
      </c>
      <c r="G24" s="129" t="s">
        <v>449</v>
      </c>
      <c r="H24" s="22">
        <v>6</v>
      </c>
      <c r="I24" s="22">
        <v>5</v>
      </c>
      <c r="J24" s="22">
        <v>5</v>
      </c>
      <c r="K24" s="22"/>
      <c r="L24" s="10" t="s">
        <v>84</v>
      </c>
      <c r="M24" s="14"/>
      <c r="N24" s="182">
        <f>AVERAGE(H24:H30)</f>
        <v>5.5714285714285712</v>
      </c>
      <c r="O24" s="182">
        <f>AVERAGE(I24:I30)</f>
        <v>5.5714285714285712</v>
      </c>
      <c r="P24" s="182">
        <f>AVERAGE(J24:J30)</f>
        <v>5.5714285714285712</v>
      </c>
    </row>
    <row r="25" spans="3:16" ht="18" customHeight="1">
      <c r="C25" s="35" t="s">
        <v>18</v>
      </c>
      <c r="D25" s="36" t="s">
        <v>447</v>
      </c>
      <c r="E25" s="36" t="s">
        <v>396</v>
      </c>
      <c r="F25" s="129" t="s">
        <v>450</v>
      </c>
      <c r="G25" s="129" t="s">
        <v>451</v>
      </c>
      <c r="H25" s="22">
        <v>5</v>
      </c>
      <c r="I25" s="22">
        <v>5</v>
      </c>
      <c r="J25" s="22">
        <v>5</v>
      </c>
      <c r="K25" s="22"/>
      <c r="L25" s="10" t="s">
        <v>90</v>
      </c>
      <c r="M25" s="14"/>
      <c r="N25" s="161"/>
      <c r="O25" s="161"/>
      <c r="P25" s="161"/>
    </row>
    <row r="26" spans="3:16" ht="18" customHeight="1">
      <c r="C26" s="35" t="s">
        <v>18</v>
      </c>
      <c r="D26" s="36" t="s">
        <v>447</v>
      </c>
      <c r="E26" s="36" t="s">
        <v>400</v>
      </c>
      <c r="F26" s="129" t="s">
        <v>452</v>
      </c>
      <c r="G26" s="129" t="s">
        <v>453</v>
      </c>
      <c r="H26" s="22">
        <v>5</v>
      </c>
      <c r="I26" s="22">
        <v>5</v>
      </c>
      <c r="J26" s="22">
        <v>5</v>
      </c>
      <c r="K26" s="22"/>
      <c r="L26" s="10" t="s">
        <v>87</v>
      </c>
      <c r="M26" s="14"/>
      <c r="N26" s="161"/>
      <c r="O26" s="161"/>
      <c r="P26" s="161"/>
    </row>
    <row r="27" spans="3:16" ht="18" customHeight="1">
      <c r="C27" s="35" t="s">
        <v>18</v>
      </c>
      <c r="D27" s="36" t="s">
        <v>447</v>
      </c>
      <c r="E27" s="36" t="s">
        <v>403</v>
      </c>
      <c r="F27" s="129" t="s">
        <v>454</v>
      </c>
      <c r="G27" s="129" t="s">
        <v>455</v>
      </c>
      <c r="H27" s="22">
        <v>6</v>
      </c>
      <c r="I27" s="22">
        <v>6</v>
      </c>
      <c r="J27" s="22">
        <v>6</v>
      </c>
      <c r="K27" s="22"/>
      <c r="L27" s="10" t="s">
        <v>90</v>
      </c>
      <c r="M27" s="14"/>
      <c r="N27" s="161"/>
      <c r="O27" s="161"/>
      <c r="P27" s="161"/>
    </row>
    <row r="28" spans="3:16" ht="18" customHeight="1">
      <c r="C28" s="35" t="s">
        <v>18</v>
      </c>
      <c r="D28" s="36" t="s">
        <v>447</v>
      </c>
      <c r="E28" s="36" t="s">
        <v>406</v>
      </c>
      <c r="F28" s="129" t="s">
        <v>456</v>
      </c>
      <c r="G28" s="129" t="s">
        <v>457</v>
      </c>
      <c r="H28" s="22">
        <v>5</v>
      </c>
      <c r="I28" s="22">
        <v>6</v>
      </c>
      <c r="J28" s="22">
        <v>6</v>
      </c>
      <c r="K28" s="22"/>
      <c r="L28" s="10" t="s">
        <v>93</v>
      </c>
      <c r="M28" s="14"/>
      <c r="N28" s="161"/>
      <c r="O28" s="161"/>
      <c r="P28" s="161"/>
    </row>
    <row r="29" spans="3:16" ht="18" customHeight="1">
      <c r="C29" s="35" t="s">
        <v>18</v>
      </c>
      <c r="D29" s="36" t="s">
        <v>447</v>
      </c>
      <c r="E29" s="36" t="s">
        <v>409</v>
      </c>
      <c r="F29" s="129" t="s">
        <v>458</v>
      </c>
      <c r="G29" s="129" t="s">
        <v>459</v>
      </c>
      <c r="H29" s="22">
        <v>6</v>
      </c>
      <c r="I29" s="22">
        <v>6</v>
      </c>
      <c r="J29" s="22">
        <v>6</v>
      </c>
      <c r="K29" s="22"/>
      <c r="L29" s="10" t="s">
        <v>90</v>
      </c>
      <c r="M29" s="14"/>
      <c r="N29" s="161"/>
      <c r="O29" s="161"/>
      <c r="P29" s="161"/>
    </row>
    <row r="30" spans="3:16" ht="18" customHeight="1">
      <c r="C30" s="35" t="s">
        <v>18</v>
      </c>
      <c r="D30" s="36" t="s">
        <v>447</v>
      </c>
      <c r="E30" s="36" t="s">
        <v>412</v>
      </c>
      <c r="F30" s="129" t="s">
        <v>460</v>
      </c>
      <c r="G30" s="129" t="s">
        <v>461</v>
      </c>
      <c r="H30" s="22">
        <v>6</v>
      </c>
      <c r="I30" s="22">
        <v>6</v>
      </c>
      <c r="J30" s="22">
        <v>6</v>
      </c>
      <c r="K30" s="22"/>
      <c r="L30" s="10" t="s">
        <v>90</v>
      </c>
      <c r="M30" s="14"/>
      <c r="N30" s="183"/>
      <c r="O30" s="183"/>
      <c r="P30" s="183"/>
    </row>
    <row r="31" spans="3:16" ht="18" customHeight="1">
      <c r="C31" s="142" t="s">
        <v>18</v>
      </c>
      <c r="D31" s="141" t="s">
        <v>462</v>
      </c>
      <c r="E31" s="141" t="s">
        <v>393</v>
      </c>
      <c r="F31" s="144" t="s">
        <v>463</v>
      </c>
      <c r="G31" s="144" t="s">
        <v>464</v>
      </c>
      <c r="H31" s="19">
        <v>6</v>
      </c>
      <c r="I31" s="25">
        <v>5</v>
      </c>
      <c r="J31" s="19">
        <v>7</v>
      </c>
      <c r="K31" s="19"/>
      <c r="L31" s="7" t="s">
        <v>101</v>
      </c>
      <c r="M31" s="8"/>
      <c r="N31" s="180">
        <f>AVERAGE(H31:H37)</f>
        <v>6</v>
      </c>
      <c r="O31" s="180">
        <f>AVERAGE(I31:I37)</f>
        <v>5.5714285714285712</v>
      </c>
      <c r="P31" s="180">
        <f>AVERAGE(J31:J37)</f>
        <v>6.2857142857142856</v>
      </c>
    </row>
    <row r="32" spans="3:16" ht="18" customHeight="1">
      <c r="C32" s="142" t="s">
        <v>18</v>
      </c>
      <c r="D32" s="141" t="s">
        <v>462</v>
      </c>
      <c r="E32" s="141" t="s">
        <v>396</v>
      </c>
      <c r="F32" s="144" t="s">
        <v>465</v>
      </c>
      <c r="G32" s="144" t="s">
        <v>466</v>
      </c>
      <c r="H32" s="19">
        <v>6</v>
      </c>
      <c r="I32" s="25">
        <v>6</v>
      </c>
      <c r="J32" s="19">
        <v>6</v>
      </c>
      <c r="K32" s="19"/>
      <c r="L32" s="7" t="s">
        <v>436</v>
      </c>
      <c r="M32" s="8"/>
      <c r="N32" s="158"/>
      <c r="O32" s="158"/>
      <c r="P32" s="158"/>
    </row>
    <row r="33" spans="3:16" ht="18" customHeight="1">
      <c r="C33" s="142" t="s">
        <v>18</v>
      </c>
      <c r="D33" s="141" t="s">
        <v>462</v>
      </c>
      <c r="E33" s="141" t="s">
        <v>400</v>
      </c>
      <c r="F33" s="144" t="s">
        <v>467</v>
      </c>
      <c r="G33" s="144" t="s">
        <v>468</v>
      </c>
      <c r="H33" s="19">
        <v>6</v>
      </c>
      <c r="I33" s="25">
        <v>6</v>
      </c>
      <c r="J33" s="19">
        <v>7</v>
      </c>
      <c r="K33" s="19"/>
      <c r="L33" s="7" t="s">
        <v>104</v>
      </c>
      <c r="M33" s="8"/>
      <c r="N33" s="158"/>
      <c r="O33" s="158"/>
      <c r="P33" s="158"/>
    </row>
    <row r="34" spans="3:16" ht="18" customHeight="1">
      <c r="C34" s="142" t="s">
        <v>18</v>
      </c>
      <c r="D34" s="141" t="s">
        <v>462</v>
      </c>
      <c r="E34" s="141" t="s">
        <v>403</v>
      </c>
      <c r="F34" s="144" t="s">
        <v>469</v>
      </c>
      <c r="G34" s="144" t="s">
        <v>470</v>
      </c>
      <c r="H34" s="19">
        <v>6</v>
      </c>
      <c r="I34" s="25">
        <v>5</v>
      </c>
      <c r="J34" s="19">
        <v>6</v>
      </c>
      <c r="K34" s="19"/>
      <c r="L34" s="7" t="s">
        <v>107</v>
      </c>
      <c r="M34" s="8"/>
      <c r="N34" s="158"/>
      <c r="O34" s="158"/>
      <c r="P34" s="158"/>
    </row>
    <row r="35" spans="3:16" ht="18" customHeight="1">
      <c r="C35" s="142" t="s">
        <v>18</v>
      </c>
      <c r="D35" s="141" t="s">
        <v>462</v>
      </c>
      <c r="E35" s="141" t="s">
        <v>406</v>
      </c>
      <c r="F35" s="144" t="s">
        <v>471</v>
      </c>
      <c r="G35" s="144" t="s">
        <v>472</v>
      </c>
      <c r="H35" s="19">
        <v>6</v>
      </c>
      <c r="I35" s="25">
        <v>6</v>
      </c>
      <c r="J35" s="19">
        <v>6</v>
      </c>
      <c r="K35" s="19"/>
      <c r="L35" s="7" t="s">
        <v>110</v>
      </c>
      <c r="M35" s="8"/>
      <c r="N35" s="158"/>
      <c r="O35" s="158"/>
      <c r="P35" s="158"/>
    </row>
    <row r="36" spans="3:16" ht="18" customHeight="1">
      <c r="C36" s="142" t="s">
        <v>18</v>
      </c>
      <c r="D36" s="141" t="s">
        <v>462</v>
      </c>
      <c r="E36" s="141" t="s">
        <v>409</v>
      </c>
      <c r="F36" s="144" t="s">
        <v>473</v>
      </c>
      <c r="G36" s="144" t="s">
        <v>474</v>
      </c>
      <c r="H36" s="19">
        <v>6</v>
      </c>
      <c r="I36" s="25">
        <v>5</v>
      </c>
      <c r="J36" s="19">
        <v>6</v>
      </c>
      <c r="K36" s="19"/>
      <c r="L36" s="7" t="s">
        <v>77</v>
      </c>
      <c r="M36" s="8"/>
      <c r="N36" s="158"/>
      <c r="O36" s="158"/>
      <c r="P36" s="158"/>
    </row>
    <row r="37" spans="3:16" ht="18" customHeight="1">
      <c r="C37" s="142" t="s">
        <v>18</v>
      </c>
      <c r="D37" s="141" t="s">
        <v>462</v>
      </c>
      <c r="E37" s="141" t="s">
        <v>412</v>
      </c>
      <c r="F37" s="144" t="s">
        <v>475</v>
      </c>
      <c r="G37" s="144" t="s">
        <v>476</v>
      </c>
      <c r="H37" s="19">
        <v>6</v>
      </c>
      <c r="I37" s="25">
        <v>6</v>
      </c>
      <c r="J37" s="19">
        <v>6</v>
      </c>
      <c r="K37" s="19"/>
      <c r="L37" s="7" t="s">
        <v>115</v>
      </c>
      <c r="M37" s="8"/>
      <c r="N37" s="181"/>
      <c r="O37" s="181"/>
      <c r="P37" s="181"/>
    </row>
    <row r="38" spans="3:16" ht="18" customHeight="1">
      <c r="C38" s="35" t="s">
        <v>18</v>
      </c>
      <c r="D38" s="36" t="s">
        <v>477</v>
      </c>
      <c r="E38" s="36" t="s">
        <v>393</v>
      </c>
      <c r="F38" s="129" t="s">
        <v>478</v>
      </c>
      <c r="G38" s="129" t="s">
        <v>479</v>
      </c>
      <c r="H38" s="22">
        <v>6</v>
      </c>
      <c r="I38" s="22">
        <v>6</v>
      </c>
      <c r="J38" s="22">
        <v>6</v>
      </c>
      <c r="K38" s="22"/>
      <c r="L38" s="10" t="s">
        <v>104</v>
      </c>
      <c r="M38" s="14"/>
      <c r="N38" s="182">
        <f>AVERAGE(H38:H44)</f>
        <v>6</v>
      </c>
      <c r="O38" s="182">
        <f>AVERAGE(I38:I44)</f>
        <v>6</v>
      </c>
      <c r="P38" s="182">
        <f>AVERAGE(J38:J44)</f>
        <v>6.2857142857142856</v>
      </c>
    </row>
    <row r="39" spans="3:16" ht="18" customHeight="1">
      <c r="C39" s="35" t="s">
        <v>18</v>
      </c>
      <c r="D39" s="36" t="s">
        <v>477</v>
      </c>
      <c r="E39" s="36" t="s">
        <v>396</v>
      </c>
      <c r="F39" s="129" t="s">
        <v>480</v>
      </c>
      <c r="G39" s="129" t="s">
        <v>481</v>
      </c>
      <c r="H39" s="22">
        <v>6</v>
      </c>
      <c r="I39" s="22">
        <v>6</v>
      </c>
      <c r="J39" s="22">
        <v>6</v>
      </c>
      <c r="K39" s="22"/>
      <c r="L39" s="10" t="s">
        <v>436</v>
      </c>
      <c r="M39" s="14"/>
      <c r="N39" s="161"/>
      <c r="O39" s="161"/>
      <c r="P39" s="161"/>
    </row>
    <row r="40" spans="3:16" ht="18" customHeight="1">
      <c r="C40" s="35" t="s">
        <v>18</v>
      </c>
      <c r="D40" s="36" t="s">
        <v>477</v>
      </c>
      <c r="E40" s="36" t="s">
        <v>400</v>
      </c>
      <c r="F40" s="129" t="s">
        <v>482</v>
      </c>
      <c r="G40" s="129" t="s">
        <v>483</v>
      </c>
      <c r="H40" s="22">
        <v>6</v>
      </c>
      <c r="I40" s="22">
        <v>6</v>
      </c>
      <c r="J40" s="22">
        <v>7</v>
      </c>
      <c r="K40" s="22"/>
      <c r="L40" s="10" t="s">
        <v>104</v>
      </c>
      <c r="M40" s="14"/>
      <c r="N40" s="161"/>
      <c r="O40" s="161"/>
      <c r="P40" s="161"/>
    </row>
    <row r="41" spans="3:16" ht="18" customHeight="1">
      <c r="C41" s="35" t="s">
        <v>18</v>
      </c>
      <c r="D41" s="36" t="s">
        <v>477</v>
      </c>
      <c r="E41" s="36" t="s">
        <v>403</v>
      </c>
      <c r="F41" s="129" t="s">
        <v>484</v>
      </c>
      <c r="G41" s="129" t="s">
        <v>485</v>
      </c>
      <c r="H41" s="22">
        <v>6</v>
      </c>
      <c r="I41" s="22">
        <v>6</v>
      </c>
      <c r="J41" s="22">
        <v>6</v>
      </c>
      <c r="K41" s="22"/>
      <c r="L41" s="10" t="s">
        <v>107</v>
      </c>
      <c r="M41" s="14"/>
      <c r="N41" s="161"/>
      <c r="O41" s="161"/>
      <c r="P41" s="161"/>
    </row>
    <row r="42" spans="3:16" ht="18" customHeight="1">
      <c r="C42" s="35" t="s">
        <v>18</v>
      </c>
      <c r="D42" s="36" t="s">
        <v>477</v>
      </c>
      <c r="E42" s="36" t="s">
        <v>406</v>
      </c>
      <c r="F42" s="129" t="s">
        <v>486</v>
      </c>
      <c r="G42" s="129" t="s">
        <v>487</v>
      </c>
      <c r="H42" s="22">
        <v>6</v>
      </c>
      <c r="I42" s="22">
        <v>6</v>
      </c>
      <c r="J42" s="22">
        <v>6</v>
      </c>
      <c r="K42" s="22"/>
      <c r="L42" s="10" t="s">
        <v>110</v>
      </c>
      <c r="M42" s="14"/>
      <c r="N42" s="161"/>
      <c r="O42" s="161"/>
      <c r="P42" s="161"/>
    </row>
    <row r="43" spans="3:16" ht="18" customHeight="1">
      <c r="C43" s="35" t="s">
        <v>18</v>
      </c>
      <c r="D43" s="36" t="s">
        <v>477</v>
      </c>
      <c r="E43" s="36" t="s">
        <v>409</v>
      </c>
      <c r="F43" s="129" t="s">
        <v>488</v>
      </c>
      <c r="G43" s="129" t="s">
        <v>489</v>
      </c>
      <c r="H43" s="22">
        <v>6</v>
      </c>
      <c r="I43" s="22">
        <v>6</v>
      </c>
      <c r="J43" s="22">
        <v>6</v>
      </c>
      <c r="K43" s="22"/>
      <c r="L43" s="10" t="s">
        <v>77</v>
      </c>
      <c r="M43" s="14"/>
      <c r="N43" s="161"/>
      <c r="O43" s="161"/>
      <c r="P43" s="161"/>
    </row>
    <row r="44" spans="3:16" ht="18" customHeight="1">
      <c r="C44" s="35" t="s">
        <v>18</v>
      </c>
      <c r="D44" s="36" t="s">
        <v>477</v>
      </c>
      <c r="E44" s="36" t="s">
        <v>412</v>
      </c>
      <c r="F44" s="129" t="s">
        <v>490</v>
      </c>
      <c r="G44" s="129" t="s">
        <v>491</v>
      </c>
      <c r="H44" s="22">
        <v>6</v>
      </c>
      <c r="I44" s="22">
        <v>6</v>
      </c>
      <c r="J44" s="22">
        <v>7</v>
      </c>
      <c r="K44" s="22"/>
      <c r="L44" s="10" t="s">
        <v>129</v>
      </c>
      <c r="M44" s="14"/>
      <c r="N44" s="183"/>
      <c r="O44" s="183"/>
      <c r="P44" s="183"/>
    </row>
    <row r="45" spans="3:16" ht="18" customHeight="1">
      <c r="C45" s="142" t="s">
        <v>18</v>
      </c>
      <c r="D45" s="141" t="s">
        <v>492</v>
      </c>
      <c r="E45" s="141" t="s">
        <v>393</v>
      </c>
      <c r="F45" s="144" t="s">
        <v>493</v>
      </c>
      <c r="G45" s="144" t="s">
        <v>494</v>
      </c>
      <c r="H45" s="19">
        <v>7</v>
      </c>
      <c r="I45" s="25">
        <v>5</v>
      </c>
      <c r="J45" s="19">
        <v>8</v>
      </c>
      <c r="K45" s="19"/>
      <c r="L45" s="7" t="s">
        <v>134</v>
      </c>
      <c r="M45" s="8"/>
      <c r="N45" s="180">
        <f>AVERAGE(H45:H51)</f>
        <v>7</v>
      </c>
      <c r="O45" s="180">
        <f>AVERAGE(I45:I51)</f>
        <v>5.5714285714285712</v>
      </c>
      <c r="P45" s="180">
        <f>AVERAGE(J45:J51)</f>
        <v>7.8571428571428568</v>
      </c>
    </row>
    <row r="46" spans="3:16" ht="18" customHeight="1">
      <c r="C46" s="142" t="s">
        <v>18</v>
      </c>
      <c r="D46" s="141" t="s">
        <v>492</v>
      </c>
      <c r="E46" s="141" t="s">
        <v>396</v>
      </c>
      <c r="F46" s="144" t="s">
        <v>495</v>
      </c>
      <c r="G46" s="144" t="s">
        <v>496</v>
      </c>
      <c r="H46" s="19">
        <v>7</v>
      </c>
      <c r="I46" s="25">
        <v>6</v>
      </c>
      <c r="J46" s="19">
        <v>7</v>
      </c>
      <c r="K46" s="19"/>
      <c r="L46" s="7" t="s">
        <v>497</v>
      </c>
      <c r="M46" s="8"/>
      <c r="N46" s="158"/>
      <c r="O46" s="158"/>
      <c r="P46" s="158"/>
    </row>
    <row r="47" spans="3:16" ht="18" customHeight="1">
      <c r="C47" s="142" t="s">
        <v>18</v>
      </c>
      <c r="D47" s="141" t="s">
        <v>492</v>
      </c>
      <c r="E47" s="141" t="s">
        <v>400</v>
      </c>
      <c r="F47" s="144" t="s">
        <v>498</v>
      </c>
      <c r="G47" s="144" t="s">
        <v>499</v>
      </c>
      <c r="H47" s="19">
        <v>7</v>
      </c>
      <c r="I47" s="25">
        <v>5</v>
      </c>
      <c r="J47" s="19">
        <v>8</v>
      </c>
      <c r="K47" s="19"/>
      <c r="L47" s="7" t="s">
        <v>137</v>
      </c>
      <c r="M47" s="8"/>
      <c r="N47" s="158"/>
      <c r="O47" s="158"/>
      <c r="P47" s="158"/>
    </row>
    <row r="48" spans="3:16" ht="18" customHeight="1">
      <c r="C48" s="142" t="s">
        <v>18</v>
      </c>
      <c r="D48" s="141" t="s">
        <v>492</v>
      </c>
      <c r="E48" s="141" t="s">
        <v>403</v>
      </c>
      <c r="F48" s="144" t="s">
        <v>500</v>
      </c>
      <c r="G48" s="144" t="s">
        <v>501</v>
      </c>
      <c r="H48" s="19">
        <v>8</v>
      </c>
      <c r="I48" s="25">
        <v>6</v>
      </c>
      <c r="J48" s="19">
        <v>8</v>
      </c>
      <c r="K48" s="19"/>
      <c r="L48" s="7" t="s">
        <v>140</v>
      </c>
      <c r="M48" s="8"/>
      <c r="N48" s="158"/>
      <c r="O48" s="158"/>
      <c r="P48" s="158"/>
    </row>
    <row r="49" spans="3:16" ht="18" customHeight="1">
      <c r="C49" s="142" t="s">
        <v>18</v>
      </c>
      <c r="D49" s="141" t="s">
        <v>492</v>
      </c>
      <c r="E49" s="141" t="s">
        <v>406</v>
      </c>
      <c r="F49" s="144" t="s">
        <v>502</v>
      </c>
      <c r="G49" s="144" t="s">
        <v>503</v>
      </c>
      <c r="H49" s="19">
        <v>7</v>
      </c>
      <c r="I49" s="25">
        <v>5</v>
      </c>
      <c r="J49" s="19">
        <v>8</v>
      </c>
      <c r="K49" s="19"/>
      <c r="L49" s="7" t="s">
        <v>143</v>
      </c>
      <c r="M49" s="8"/>
      <c r="N49" s="158"/>
      <c r="O49" s="158"/>
      <c r="P49" s="158"/>
    </row>
    <row r="50" spans="3:16" ht="18" customHeight="1">
      <c r="C50" s="142" t="s">
        <v>18</v>
      </c>
      <c r="D50" s="141" t="s">
        <v>492</v>
      </c>
      <c r="E50" s="141" t="s">
        <v>409</v>
      </c>
      <c r="F50" s="144" t="s">
        <v>504</v>
      </c>
      <c r="G50" s="144" t="s">
        <v>505</v>
      </c>
      <c r="H50" s="19">
        <v>6</v>
      </c>
      <c r="I50" s="25">
        <v>6</v>
      </c>
      <c r="J50" s="19">
        <v>8</v>
      </c>
      <c r="K50" s="19"/>
      <c r="L50" s="7" t="s">
        <v>146</v>
      </c>
      <c r="M50" s="8"/>
      <c r="N50" s="158"/>
      <c r="O50" s="158"/>
      <c r="P50" s="158"/>
    </row>
    <row r="51" spans="3:16" ht="18" customHeight="1">
      <c r="C51" s="142" t="s">
        <v>18</v>
      </c>
      <c r="D51" s="141" t="s">
        <v>492</v>
      </c>
      <c r="E51" s="141" t="s">
        <v>412</v>
      </c>
      <c r="F51" s="144" t="s">
        <v>506</v>
      </c>
      <c r="G51" s="144" t="s">
        <v>507</v>
      </c>
      <c r="H51" s="19">
        <v>7</v>
      </c>
      <c r="I51" s="25">
        <v>6</v>
      </c>
      <c r="J51" s="19">
        <v>8</v>
      </c>
      <c r="K51" s="19"/>
      <c r="L51" s="7" t="s">
        <v>149</v>
      </c>
      <c r="M51" s="8"/>
      <c r="N51" s="181"/>
      <c r="O51" s="181"/>
      <c r="P51" s="181"/>
    </row>
    <row r="52" spans="3:16" ht="18" customHeight="1">
      <c r="C52" s="35" t="s">
        <v>130</v>
      </c>
      <c r="D52" s="36" t="s">
        <v>131</v>
      </c>
      <c r="E52" s="36" t="s">
        <v>393</v>
      </c>
      <c r="F52" s="129" t="s">
        <v>508</v>
      </c>
      <c r="G52" s="129" t="s">
        <v>509</v>
      </c>
      <c r="H52" s="22">
        <v>7</v>
      </c>
      <c r="I52" s="27">
        <v>7</v>
      </c>
      <c r="J52" s="22">
        <v>8</v>
      </c>
      <c r="K52" s="22"/>
      <c r="L52" s="10" t="s">
        <v>153</v>
      </c>
      <c r="M52" s="14"/>
      <c r="N52" s="182">
        <f>AVERAGE(H52:H58)</f>
        <v>6.8571428571428568</v>
      </c>
      <c r="O52" s="182">
        <f>AVERAGE(I52:I58)</f>
        <v>6.4285714285714288</v>
      </c>
      <c r="P52" s="182">
        <f>AVERAGE(J52:J58)</f>
        <v>7.1428571428571432</v>
      </c>
    </row>
    <row r="53" spans="3:16" ht="18" customHeight="1">
      <c r="C53" s="35" t="s">
        <v>130</v>
      </c>
      <c r="D53" s="36" t="s">
        <v>131</v>
      </c>
      <c r="E53" s="36" t="s">
        <v>396</v>
      </c>
      <c r="F53" s="129" t="s">
        <v>510</v>
      </c>
      <c r="G53" s="129" t="s">
        <v>511</v>
      </c>
      <c r="H53" s="22">
        <v>6</v>
      </c>
      <c r="I53" s="27">
        <v>6</v>
      </c>
      <c r="J53" s="22">
        <v>6</v>
      </c>
      <c r="K53" s="22"/>
      <c r="L53" s="10" t="s">
        <v>512</v>
      </c>
      <c r="M53" s="14"/>
      <c r="N53" s="161"/>
      <c r="O53" s="161"/>
      <c r="P53" s="161"/>
    </row>
    <row r="54" spans="3:16" ht="18" customHeight="1">
      <c r="C54" s="35" t="s">
        <v>130</v>
      </c>
      <c r="D54" s="36" t="s">
        <v>131</v>
      </c>
      <c r="E54" s="36" t="s">
        <v>400</v>
      </c>
      <c r="F54" s="129" t="s">
        <v>513</v>
      </c>
      <c r="G54" s="129" t="s">
        <v>514</v>
      </c>
      <c r="H54" s="22">
        <v>7</v>
      </c>
      <c r="I54" s="27">
        <v>7</v>
      </c>
      <c r="J54" s="22">
        <v>7</v>
      </c>
      <c r="K54" s="22"/>
      <c r="L54" s="10" t="s">
        <v>156</v>
      </c>
      <c r="M54" s="14"/>
      <c r="N54" s="161"/>
      <c r="O54" s="161"/>
      <c r="P54" s="161"/>
    </row>
    <row r="55" spans="3:16" ht="18" customHeight="1">
      <c r="C55" s="35" t="s">
        <v>130</v>
      </c>
      <c r="D55" s="36" t="s">
        <v>131</v>
      </c>
      <c r="E55" s="36" t="s">
        <v>403</v>
      </c>
      <c r="F55" s="129" t="s">
        <v>515</v>
      </c>
      <c r="G55" s="129" t="s">
        <v>516</v>
      </c>
      <c r="H55" s="22">
        <v>7</v>
      </c>
      <c r="I55" s="27">
        <v>7</v>
      </c>
      <c r="J55" s="22">
        <v>7</v>
      </c>
      <c r="K55" s="22"/>
      <c r="L55" s="10" t="s">
        <v>159</v>
      </c>
      <c r="M55" s="14"/>
      <c r="N55" s="161"/>
      <c r="O55" s="161"/>
      <c r="P55" s="161"/>
    </row>
    <row r="56" spans="3:16" ht="18" customHeight="1">
      <c r="C56" s="35" t="s">
        <v>130</v>
      </c>
      <c r="D56" s="36" t="s">
        <v>131</v>
      </c>
      <c r="E56" s="36" t="s">
        <v>406</v>
      </c>
      <c r="F56" s="129" t="s">
        <v>517</v>
      </c>
      <c r="G56" s="129" t="s">
        <v>518</v>
      </c>
      <c r="H56" s="22">
        <v>7</v>
      </c>
      <c r="I56" s="27">
        <v>6</v>
      </c>
      <c r="J56" s="22">
        <v>8</v>
      </c>
      <c r="K56" s="22"/>
      <c r="L56" s="10" t="s">
        <v>162</v>
      </c>
      <c r="M56" s="14"/>
      <c r="N56" s="161"/>
      <c r="O56" s="161"/>
      <c r="P56" s="161"/>
    </row>
    <row r="57" spans="3:16" ht="18" customHeight="1">
      <c r="C57" s="35" t="s">
        <v>130</v>
      </c>
      <c r="D57" s="36" t="s">
        <v>131</v>
      </c>
      <c r="E57" s="36" t="s">
        <v>409</v>
      </c>
      <c r="F57" s="129" t="s">
        <v>519</v>
      </c>
      <c r="G57" s="129" t="s">
        <v>520</v>
      </c>
      <c r="H57" s="22">
        <v>6</v>
      </c>
      <c r="I57" s="27">
        <v>6</v>
      </c>
      <c r="J57" s="22">
        <v>6</v>
      </c>
      <c r="K57" s="22"/>
      <c r="L57" s="10" t="s">
        <v>165</v>
      </c>
      <c r="M57" s="14"/>
      <c r="N57" s="161"/>
      <c r="O57" s="161"/>
      <c r="P57" s="161"/>
    </row>
    <row r="58" spans="3:16" ht="18" customHeight="1">
      <c r="C58" s="35" t="s">
        <v>130</v>
      </c>
      <c r="D58" s="36" t="s">
        <v>131</v>
      </c>
      <c r="E58" s="36" t="s">
        <v>412</v>
      </c>
      <c r="F58" s="129" t="s">
        <v>521</v>
      </c>
      <c r="G58" s="129" t="s">
        <v>522</v>
      </c>
      <c r="H58" s="22">
        <v>8</v>
      </c>
      <c r="I58" s="27">
        <v>6</v>
      </c>
      <c r="J58" s="22">
        <v>8</v>
      </c>
      <c r="K58" s="22"/>
      <c r="L58" s="10" t="s">
        <v>168</v>
      </c>
      <c r="M58" s="14"/>
      <c r="N58" s="183"/>
      <c r="O58" s="183"/>
      <c r="P58" s="183"/>
    </row>
    <row r="59" spans="3:16" ht="18" customHeight="1">
      <c r="C59" s="142" t="s">
        <v>130</v>
      </c>
      <c r="D59" s="141" t="s">
        <v>523</v>
      </c>
      <c r="E59" s="141" t="s">
        <v>393</v>
      </c>
      <c r="F59" s="144" t="s">
        <v>524</v>
      </c>
      <c r="G59" s="144" t="s">
        <v>525</v>
      </c>
      <c r="H59" s="19">
        <v>7</v>
      </c>
      <c r="I59" s="25">
        <v>5</v>
      </c>
      <c r="J59" s="19">
        <v>8</v>
      </c>
      <c r="K59" s="19"/>
      <c r="L59" s="7" t="s">
        <v>134</v>
      </c>
      <c r="M59" s="8"/>
      <c r="N59" s="180">
        <f>AVERAGE(H59:H65)</f>
        <v>6.8571428571428568</v>
      </c>
      <c r="O59" s="180">
        <f>AVERAGE(I59:I65)</f>
        <v>5.2857142857142856</v>
      </c>
      <c r="P59" s="180">
        <f>AVERAGE(J59:J65)</f>
        <v>7.4285714285714288</v>
      </c>
    </row>
    <row r="60" spans="3:16" ht="18" customHeight="1">
      <c r="C60" s="142" t="s">
        <v>130</v>
      </c>
      <c r="D60" s="141" t="s">
        <v>523</v>
      </c>
      <c r="E60" s="141" t="s">
        <v>396</v>
      </c>
      <c r="F60" s="144" t="s">
        <v>526</v>
      </c>
      <c r="G60" s="144" t="s">
        <v>527</v>
      </c>
      <c r="H60" s="19">
        <v>6</v>
      </c>
      <c r="I60" s="25">
        <v>5</v>
      </c>
      <c r="J60" s="19">
        <v>7</v>
      </c>
      <c r="K60" s="19"/>
      <c r="L60" s="7" t="s">
        <v>528</v>
      </c>
      <c r="M60" s="8"/>
      <c r="N60" s="158"/>
      <c r="O60" s="158"/>
      <c r="P60" s="158"/>
    </row>
    <row r="61" spans="3:16" ht="18" customHeight="1">
      <c r="C61" s="142" t="s">
        <v>130</v>
      </c>
      <c r="D61" s="141" t="s">
        <v>523</v>
      </c>
      <c r="E61" s="141" t="s">
        <v>400</v>
      </c>
      <c r="F61" s="144" t="s">
        <v>529</v>
      </c>
      <c r="G61" s="144" t="s">
        <v>530</v>
      </c>
      <c r="H61" s="19">
        <v>7</v>
      </c>
      <c r="I61" s="25">
        <v>6</v>
      </c>
      <c r="J61" s="19">
        <v>8</v>
      </c>
      <c r="K61" s="19"/>
      <c r="L61" s="7" t="s">
        <v>137</v>
      </c>
      <c r="M61" s="8"/>
      <c r="N61" s="158"/>
      <c r="O61" s="158"/>
      <c r="P61" s="158"/>
    </row>
    <row r="62" spans="3:16" ht="18" customHeight="1">
      <c r="C62" s="142" t="s">
        <v>130</v>
      </c>
      <c r="D62" s="141" t="s">
        <v>523</v>
      </c>
      <c r="E62" s="141" t="s">
        <v>403</v>
      </c>
      <c r="F62" s="144" t="s">
        <v>531</v>
      </c>
      <c r="G62" s="144" t="s">
        <v>532</v>
      </c>
      <c r="H62" s="25">
        <v>7</v>
      </c>
      <c r="I62" s="25">
        <v>5</v>
      </c>
      <c r="J62" s="25">
        <v>7</v>
      </c>
      <c r="K62" s="25"/>
      <c r="L62" s="7" t="s">
        <v>176</v>
      </c>
      <c r="M62" s="7"/>
      <c r="N62" s="158"/>
      <c r="O62" s="158"/>
      <c r="P62" s="158"/>
    </row>
    <row r="63" spans="3:16" ht="18" customHeight="1">
      <c r="C63" s="142" t="s">
        <v>130</v>
      </c>
      <c r="D63" s="141" t="s">
        <v>523</v>
      </c>
      <c r="E63" s="141" t="s">
        <v>406</v>
      </c>
      <c r="F63" s="144" t="s">
        <v>533</v>
      </c>
      <c r="G63" s="144" t="s">
        <v>534</v>
      </c>
      <c r="H63" s="25">
        <v>8</v>
      </c>
      <c r="I63" s="25">
        <v>5</v>
      </c>
      <c r="J63" s="25">
        <v>8</v>
      </c>
      <c r="K63" s="25"/>
      <c r="L63" s="7" t="s">
        <v>179</v>
      </c>
      <c r="M63" s="7"/>
      <c r="N63" s="158"/>
      <c r="O63" s="158"/>
      <c r="P63" s="158"/>
    </row>
    <row r="64" spans="3:16" ht="18" customHeight="1">
      <c r="C64" s="142" t="s">
        <v>130</v>
      </c>
      <c r="D64" s="141" t="s">
        <v>523</v>
      </c>
      <c r="E64" s="141" t="s">
        <v>409</v>
      </c>
      <c r="F64" s="144" t="s">
        <v>535</v>
      </c>
      <c r="G64" s="144" t="s">
        <v>536</v>
      </c>
      <c r="H64" s="25">
        <v>6</v>
      </c>
      <c r="I64" s="25">
        <v>5</v>
      </c>
      <c r="J64" s="25">
        <v>6</v>
      </c>
      <c r="K64" s="25"/>
      <c r="L64" s="7" t="s">
        <v>77</v>
      </c>
      <c r="M64" s="7"/>
      <c r="N64" s="158"/>
      <c r="O64" s="158"/>
      <c r="P64" s="158"/>
    </row>
    <row r="65" spans="3:16" ht="18" customHeight="1">
      <c r="C65" s="142" t="s">
        <v>130</v>
      </c>
      <c r="D65" s="141" t="s">
        <v>523</v>
      </c>
      <c r="E65" s="141" t="s">
        <v>412</v>
      </c>
      <c r="F65" s="144" t="s">
        <v>537</v>
      </c>
      <c r="G65" s="144" t="s">
        <v>538</v>
      </c>
      <c r="H65" s="25">
        <v>7</v>
      </c>
      <c r="I65" s="25">
        <v>6</v>
      </c>
      <c r="J65" s="25">
        <v>8</v>
      </c>
      <c r="K65" s="25"/>
      <c r="L65" s="7" t="s">
        <v>168</v>
      </c>
      <c r="M65" s="7"/>
      <c r="N65" s="181"/>
      <c r="O65" s="181"/>
      <c r="P65" s="181"/>
    </row>
    <row r="66" spans="3:16" ht="18" customHeight="1">
      <c r="C66" s="35" t="s">
        <v>130</v>
      </c>
      <c r="D66" s="36" t="s">
        <v>539</v>
      </c>
      <c r="E66" s="36" t="s">
        <v>393</v>
      </c>
      <c r="F66" s="129" t="s">
        <v>540</v>
      </c>
      <c r="G66" s="129" t="s">
        <v>541</v>
      </c>
      <c r="H66" s="22">
        <v>7</v>
      </c>
      <c r="I66" s="27">
        <v>5</v>
      </c>
      <c r="J66" s="22">
        <v>8</v>
      </c>
      <c r="K66" s="22"/>
      <c r="L66" s="10" t="s">
        <v>134</v>
      </c>
      <c r="M66" s="14"/>
      <c r="N66" s="182">
        <f>AVERAGE(H66:H72)</f>
        <v>7.1428571428571432</v>
      </c>
      <c r="O66" s="182">
        <f>AVERAGE(I66:I72)</f>
        <v>5.5714285714285712</v>
      </c>
      <c r="P66" s="182">
        <f>AVERAGE(J66:J72)</f>
        <v>7.4285714285714288</v>
      </c>
    </row>
    <row r="67" spans="3:16" ht="18" customHeight="1">
      <c r="C67" s="35" t="s">
        <v>130</v>
      </c>
      <c r="D67" s="36" t="s">
        <v>539</v>
      </c>
      <c r="E67" s="36" t="s">
        <v>396</v>
      </c>
      <c r="F67" s="129" t="s">
        <v>542</v>
      </c>
      <c r="G67" s="129" t="s">
        <v>543</v>
      </c>
      <c r="H67" s="22">
        <v>7</v>
      </c>
      <c r="I67" s="27">
        <v>6</v>
      </c>
      <c r="J67" s="22">
        <v>7</v>
      </c>
      <c r="K67" s="22"/>
      <c r="L67" s="10" t="s">
        <v>497</v>
      </c>
      <c r="M67" s="14"/>
      <c r="N67" s="161"/>
      <c r="O67" s="161"/>
      <c r="P67" s="161"/>
    </row>
    <row r="68" spans="3:16" ht="18" customHeight="1">
      <c r="C68" s="35" t="s">
        <v>130</v>
      </c>
      <c r="D68" s="36" t="s">
        <v>539</v>
      </c>
      <c r="E68" s="36" t="s">
        <v>400</v>
      </c>
      <c r="F68" s="129" t="s">
        <v>544</v>
      </c>
      <c r="G68" s="129" t="s">
        <v>545</v>
      </c>
      <c r="H68" s="22">
        <v>8</v>
      </c>
      <c r="I68" s="27">
        <v>6</v>
      </c>
      <c r="J68" s="22">
        <v>8</v>
      </c>
      <c r="K68" s="22"/>
      <c r="L68" s="10" t="s">
        <v>189</v>
      </c>
      <c r="M68" s="14"/>
      <c r="N68" s="161"/>
      <c r="O68" s="161"/>
      <c r="P68" s="161"/>
    </row>
    <row r="69" spans="3:16" ht="18" customHeight="1">
      <c r="C69" s="35" t="s">
        <v>130</v>
      </c>
      <c r="D69" s="36" t="s">
        <v>539</v>
      </c>
      <c r="E69" s="36" t="s">
        <v>403</v>
      </c>
      <c r="F69" s="129" t="s">
        <v>546</v>
      </c>
      <c r="G69" s="129" t="s">
        <v>547</v>
      </c>
      <c r="H69" s="27">
        <v>7</v>
      </c>
      <c r="I69" s="27">
        <v>6</v>
      </c>
      <c r="J69" s="27">
        <v>7</v>
      </c>
      <c r="K69" s="27"/>
      <c r="L69" s="10" t="s">
        <v>176</v>
      </c>
      <c r="M69" s="10"/>
      <c r="N69" s="161"/>
      <c r="O69" s="161"/>
      <c r="P69" s="161"/>
    </row>
    <row r="70" spans="3:16" ht="18" customHeight="1">
      <c r="C70" s="35" t="s">
        <v>130</v>
      </c>
      <c r="D70" s="36" t="s">
        <v>539</v>
      </c>
      <c r="E70" s="36" t="s">
        <v>406</v>
      </c>
      <c r="F70" s="129" t="s">
        <v>548</v>
      </c>
      <c r="G70" s="129" t="s">
        <v>549</v>
      </c>
      <c r="H70" s="27">
        <v>7</v>
      </c>
      <c r="I70" s="27">
        <v>5</v>
      </c>
      <c r="J70" s="27">
        <v>8</v>
      </c>
      <c r="K70" s="27"/>
      <c r="L70" s="10" t="s">
        <v>194</v>
      </c>
      <c r="M70" s="10"/>
      <c r="N70" s="161"/>
      <c r="O70" s="161"/>
      <c r="P70" s="161"/>
    </row>
    <row r="71" spans="3:16" ht="18" customHeight="1">
      <c r="C71" s="35" t="s">
        <v>130</v>
      </c>
      <c r="D71" s="36" t="s">
        <v>539</v>
      </c>
      <c r="E71" s="36" t="s">
        <v>409</v>
      </c>
      <c r="F71" s="129" t="s">
        <v>550</v>
      </c>
      <c r="G71" s="129" t="s">
        <v>551</v>
      </c>
      <c r="H71" s="27">
        <v>6</v>
      </c>
      <c r="I71" s="27">
        <v>5</v>
      </c>
      <c r="J71" s="27">
        <v>6</v>
      </c>
      <c r="K71" s="27"/>
      <c r="L71" s="10" t="s">
        <v>77</v>
      </c>
      <c r="M71" s="10"/>
      <c r="N71" s="161"/>
      <c r="O71" s="161"/>
      <c r="P71" s="161"/>
    </row>
    <row r="72" spans="3:16" ht="18" customHeight="1">
      <c r="C72" s="35" t="s">
        <v>130</v>
      </c>
      <c r="D72" s="36" t="s">
        <v>539</v>
      </c>
      <c r="E72" s="36" t="s">
        <v>412</v>
      </c>
      <c r="F72" s="129" t="s">
        <v>552</v>
      </c>
      <c r="G72" s="129" t="s">
        <v>553</v>
      </c>
      <c r="H72" s="27">
        <v>8</v>
      </c>
      <c r="I72" s="27">
        <v>6</v>
      </c>
      <c r="J72" s="27">
        <v>8</v>
      </c>
      <c r="K72" s="27"/>
      <c r="L72" s="10" t="s">
        <v>168</v>
      </c>
      <c r="M72" s="10"/>
      <c r="N72" s="183"/>
      <c r="O72" s="183"/>
      <c r="P72" s="183"/>
    </row>
    <row r="73" spans="3:16" ht="18" customHeight="1">
      <c r="C73" s="142" t="s">
        <v>130</v>
      </c>
      <c r="D73" s="141" t="s">
        <v>184</v>
      </c>
      <c r="E73" s="141" t="s">
        <v>393</v>
      </c>
      <c r="F73" s="144" t="s">
        <v>554</v>
      </c>
      <c r="G73" s="144" t="s">
        <v>555</v>
      </c>
      <c r="H73" s="25">
        <v>7</v>
      </c>
      <c r="I73" s="25">
        <v>6</v>
      </c>
      <c r="J73" s="25">
        <v>8</v>
      </c>
      <c r="K73" s="25"/>
      <c r="L73" s="7" t="s">
        <v>202</v>
      </c>
      <c r="M73" s="7"/>
      <c r="N73" s="180">
        <f>AVERAGE(H73:H79)</f>
        <v>7.1428571428571432</v>
      </c>
      <c r="O73" s="180">
        <f>AVERAGE(I73:I79)</f>
        <v>6</v>
      </c>
      <c r="P73" s="180">
        <f>AVERAGE(J73:J79)</f>
        <v>7.2857142857142856</v>
      </c>
    </row>
    <row r="74" spans="3:16" ht="18" customHeight="1">
      <c r="C74" s="142" t="s">
        <v>130</v>
      </c>
      <c r="D74" s="141" t="s">
        <v>184</v>
      </c>
      <c r="E74" s="141" t="s">
        <v>396</v>
      </c>
      <c r="F74" s="144" t="s">
        <v>556</v>
      </c>
      <c r="G74" s="144" t="s">
        <v>557</v>
      </c>
      <c r="H74" s="25">
        <v>6</v>
      </c>
      <c r="I74" s="25">
        <v>6</v>
      </c>
      <c r="J74" s="25">
        <v>6</v>
      </c>
      <c r="K74" s="25"/>
      <c r="L74" s="7" t="s">
        <v>497</v>
      </c>
      <c r="M74" s="7"/>
      <c r="N74" s="158"/>
      <c r="O74" s="158"/>
      <c r="P74" s="158"/>
    </row>
    <row r="75" spans="3:16" ht="18" customHeight="1">
      <c r="C75" s="142" t="s">
        <v>130</v>
      </c>
      <c r="D75" s="141" t="s">
        <v>184</v>
      </c>
      <c r="E75" s="141" t="s">
        <v>400</v>
      </c>
      <c r="F75" s="144" t="s">
        <v>558</v>
      </c>
      <c r="G75" s="144" t="s">
        <v>559</v>
      </c>
      <c r="H75" s="25">
        <v>8</v>
      </c>
      <c r="I75" s="25">
        <v>6</v>
      </c>
      <c r="J75" s="25">
        <v>8</v>
      </c>
      <c r="K75" s="25"/>
      <c r="L75" s="7" t="s">
        <v>189</v>
      </c>
      <c r="M75" s="7"/>
      <c r="N75" s="158"/>
      <c r="O75" s="158"/>
      <c r="P75" s="158"/>
    </row>
    <row r="76" spans="3:16" ht="18" customHeight="1">
      <c r="C76" s="142" t="s">
        <v>130</v>
      </c>
      <c r="D76" s="141" t="s">
        <v>184</v>
      </c>
      <c r="E76" s="141" t="s">
        <v>403</v>
      </c>
      <c r="F76" s="144" t="s">
        <v>560</v>
      </c>
      <c r="G76" s="144" t="s">
        <v>561</v>
      </c>
      <c r="H76" s="25">
        <v>8</v>
      </c>
      <c r="I76" s="25">
        <v>7</v>
      </c>
      <c r="J76" s="25">
        <v>7</v>
      </c>
      <c r="K76" s="25"/>
      <c r="L76" s="7" t="s">
        <v>207</v>
      </c>
      <c r="M76" s="7"/>
      <c r="N76" s="158"/>
      <c r="O76" s="158"/>
      <c r="P76" s="158"/>
    </row>
    <row r="77" spans="3:16" ht="18" customHeight="1">
      <c r="C77" s="142" t="s">
        <v>130</v>
      </c>
      <c r="D77" s="141" t="s">
        <v>184</v>
      </c>
      <c r="E77" s="141" t="s">
        <v>406</v>
      </c>
      <c r="F77" s="144" t="s">
        <v>562</v>
      </c>
      <c r="G77" s="144" t="s">
        <v>563</v>
      </c>
      <c r="H77" s="25">
        <v>7</v>
      </c>
      <c r="I77" s="25">
        <v>5</v>
      </c>
      <c r="J77" s="25">
        <v>8</v>
      </c>
      <c r="K77" s="25"/>
      <c r="L77" s="7" t="s">
        <v>210</v>
      </c>
      <c r="M77" s="7"/>
      <c r="N77" s="158"/>
      <c r="O77" s="158"/>
      <c r="P77" s="158"/>
    </row>
    <row r="78" spans="3:16" ht="18" customHeight="1">
      <c r="C78" s="142" t="s">
        <v>130</v>
      </c>
      <c r="D78" s="141" t="s">
        <v>184</v>
      </c>
      <c r="E78" s="141" t="s">
        <v>409</v>
      </c>
      <c r="F78" s="144" t="s">
        <v>564</v>
      </c>
      <c r="G78" s="144" t="s">
        <v>565</v>
      </c>
      <c r="H78" s="25">
        <v>6</v>
      </c>
      <c r="I78" s="25">
        <v>6</v>
      </c>
      <c r="J78" s="25">
        <v>6</v>
      </c>
      <c r="K78" s="25"/>
      <c r="L78" s="7" t="s">
        <v>77</v>
      </c>
      <c r="M78" s="7"/>
      <c r="N78" s="158"/>
      <c r="O78" s="158"/>
      <c r="P78" s="158"/>
    </row>
    <row r="79" spans="3:16" ht="18" customHeight="1">
      <c r="C79" s="142" t="s">
        <v>130</v>
      </c>
      <c r="D79" s="141" t="s">
        <v>184</v>
      </c>
      <c r="E79" s="141" t="s">
        <v>412</v>
      </c>
      <c r="F79" s="144" t="s">
        <v>566</v>
      </c>
      <c r="G79" s="144" t="s">
        <v>567</v>
      </c>
      <c r="H79" s="25">
        <v>8</v>
      </c>
      <c r="I79" s="25">
        <v>6</v>
      </c>
      <c r="J79" s="25">
        <v>8</v>
      </c>
      <c r="K79" s="25"/>
      <c r="L79" s="7" t="s">
        <v>168</v>
      </c>
      <c r="M79" s="7"/>
      <c r="N79" s="181"/>
      <c r="O79" s="181"/>
      <c r="P79" s="181"/>
    </row>
    <row r="80" spans="3:16" ht="18" customHeight="1">
      <c r="C80" s="35" t="s">
        <v>130</v>
      </c>
      <c r="D80" s="36" t="s">
        <v>568</v>
      </c>
      <c r="E80" s="36" t="s">
        <v>393</v>
      </c>
      <c r="F80" s="129" t="s">
        <v>569</v>
      </c>
      <c r="G80" s="129" t="s">
        <v>570</v>
      </c>
      <c r="H80" s="27">
        <v>7</v>
      </c>
      <c r="I80" s="27">
        <v>6</v>
      </c>
      <c r="J80" s="27">
        <v>8</v>
      </c>
      <c r="K80" s="27"/>
      <c r="L80" s="10" t="s">
        <v>202</v>
      </c>
      <c r="M80" s="10"/>
      <c r="N80" s="182">
        <f>AVERAGE(H80:H86)</f>
        <v>7</v>
      </c>
      <c r="O80" s="182">
        <f>AVERAGE(I80:I86)</f>
        <v>5.8571428571428568</v>
      </c>
      <c r="P80" s="182">
        <f>AVERAGE(J80:J86)</f>
        <v>7.2857142857142856</v>
      </c>
    </row>
    <row r="81" spans="3:16" ht="18" customHeight="1">
      <c r="C81" s="35" t="s">
        <v>130</v>
      </c>
      <c r="D81" s="36" t="s">
        <v>568</v>
      </c>
      <c r="E81" s="36" t="s">
        <v>396</v>
      </c>
      <c r="F81" s="129" t="s">
        <v>571</v>
      </c>
      <c r="G81" s="129" t="s">
        <v>572</v>
      </c>
      <c r="H81" s="27">
        <v>6</v>
      </c>
      <c r="I81" s="27">
        <v>6</v>
      </c>
      <c r="J81" s="27">
        <v>6</v>
      </c>
      <c r="K81" s="27"/>
      <c r="L81" s="10" t="s">
        <v>497</v>
      </c>
      <c r="M81" s="10"/>
      <c r="N81" s="161"/>
      <c r="O81" s="161"/>
      <c r="P81" s="161"/>
    </row>
    <row r="82" spans="3:16" ht="18" customHeight="1">
      <c r="C82" s="35" t="s">
        <v>130</v>
      </c>
      <c r="D82" s="36" t="s">
        <v>568</v>
      </c>
      <c r="E82" s="36" t="s">
        <v>400</v>
      </c>
      <c r="F82" s="129" t="s">
        <v>573</v>
      </c>
      <c r="G82" s="129" t="s">
        <v>574</v>
      </c>
      <c r="H82" s="27">
        <v>7</v>
      </c>
      <c r="I82" s="27">
        <v>6</v>
      </c>
      <c r="J82" s="27">
        <v>8</v>
      </c>
      <c r="K82" s="27"/>
      <c r="L82" s="10" t="s">
        <v>189</v>
      </c>
      <c r="M82" s="10"/>
      <c r="N82" s="161"/>
      <c r="O82" s="161"/>
      <c r="P82" s="161"/>
    </row>
    <row r="83" spans="3:16" ht="18" customHeight="1">
      <c r="C83" s="35" t="s">
        <v>130</v>
      </c>
      <c r="D83" s="36" t="s">
        <v>568</v>
      </c>
      <c r="E83" s="36" t="s">
        <v>403</v>
      </c>
      <c r="F83" s="129" t="s">
        <v>575</v>
      </c>
      <c r="G83" s="129" t="s">
        <v>576</v>
      </c>
      <c r="H83" s="27">
        <v>7</v>
      </c>
      <c r="I83" s="27">
        <v>5</v>
      </c>
      <c r="J83" s="27">
        <v>7</v>
      </c>
      <c r="K83" s="27"/>
      <c r="L83" s="10" t="s">
        <v>222</v>
      </c>
      <c r="M83" s="10"/>
      <c r="N83" s="161"/>
      <c r="O83" s="161"/>
      <c r="P83" s="161"/>
    </row>
    <row r="84" spans="3:16" ht="18" customHeight="1">
      <c r="C84" s="35" t="s">
        <v>130</v>
      </c>
      <c r="D84" s="36" t="s">
        <v>568</v>
      </c>
      <c r="E84" s="36" t="s">
        <v>406</v>
      </c>
      <c r="F84" s="129" t="s">
        <v>577</v>
      </c>
      <c r="G84" s="129" t="s">
        <v>578</v>
      </c>
      <c r="H84" s="27">
        <v>7</v>
      </c>
      <c r="I84" s="27">
        <v>6</v>
      </c>
      <c r="J84" s="27">
        <v>7</v>
      </c>
      <c r="K84" s="27"/>
      <c r="L84" s="10" t="s">
        <v>222</v>
      </c>
      <c r="M84" s="10"/>
      <c r="N84" s="161"/>
      <c r="O84" s="161"/>
      <c r="P84" s="161"/>
    </row>
    <row r="85" spans="3:16" ht="18" customHeight="1">
      <c r="C85" s="35" t="s">
        <v>130</v>
      </c>
      <c r="D85" s="36" t="s">
        <v>568</v>
      </c>
      <c r="E85" s="36" t="s">
        <v>409</v>
      </c>
      <c r="F85" s="129" t="s">
        <v>579</v>
      </c>
      <c r="G85" s="129" t="s">
        <v>580</v>
      </c>
      <c r="H85" s="27">
        <v>7</v>
      </c>
      <c r="I85" s="27">
        <v>6</v>
      </c>
      <c r="J85" s="27">
        <v>7</v>
      </c>
      <c r="K85" s="27"/>
      <c r="L85" s="10" t="s">
        <v>222</v>
      </c>
      <c r="M85" s="10"/>
      <c r="N85" s="161"/>
      <c r="O85" s="161"/>
      <c r="P85" s="161"/>
    </row>
    <row r="86" spans="3:16" ht="18" customHeight="1">
      <c r="C86" s="35" t="s">
        <v>130</v>
      </c>
      <c r="D86" s="36" t="s">
        <v>568</v>
      </c>
      <c r="E86" s="36" t="s">
        <v>412</v>
      </c>
      <c r="F86" s="129" t="s">
        <v>581</v>
      </c>
      <c r="G86" s="129" t="s">
        <v>582</v>
      </c>
      <c r="H86" s="27">
        <v>8</v>
      </c>
      <c r="I86" s="27">
        <v>6</v>
      </c>
      <c r="J86" s="27">
        <v>8</v>
      </c>
      <c r="K86" s="27"/>
      <c r="L86" s="10" t="s">
        <v>229</v>
      </c>
      <c r="M86" s="10"/>
      <c r="N86" s="183"/>
      <c r="O86" s="183"/>
      <c r="P86" s="183"/>
    </row>
    <row r="87" spans="3:16" ht="18" customHeight="1">
      <c r="C87" s="142" t="s">
        <v>130</v>
      </c>
      <c r="D87" s="141" t="s">
        <v>583</v>
      </c>
      <c r="E87" s="141" t="s">
        <v>393</v>
      </c>
      <c r="F87" s="144" t="s">
        <v>584</v>
      </c>
      <c r="G87" s="144" t="s">
        <v>585</v>
      </c>
      <c r="H87" s="25">
        <v>8</v>
      </c>
      <c r="I87" s="25">
        <v>6</v>
      </c>
      <c r="J87" s="25">
        <v>8</v>
      </c>
      <c r="K87" s="25"/>
      <c r="L87" s="7" t="s">
        <v>233</v>
      </c>
      <c r="M87" s="7"/>
      <c r="N87" s="180">
        <f>AVERAGE(H87:H93)</f>
        <v>7</v>
      </c>
      <c r="O87" s="180">
        <f>AVERAGE(I87:I93)</f>
        <v>6</v>
      </c>
      <c r="P87" s="180">
        <f>AVERAGE(J87:J93)</f>
        <v>6.4285714285714288</v>
      </c>
    </row>
    <row r="88" spans="3:16" ht="18" customHeight="1">
      <c r="C88" s="142" t="s">
        <v>130</v>
      </c>
      <c r="D88" s="141" t="s">
        <v>583</v>
      </c>
      <c r="E88" s="141" t="s">
        <v>396</v>
      </c>
      <c r="F88" s="144" t="s">
        <v>586</v>
      </c>
      <c r="G88" s="144" t="s">
        <v>587</v>
      </c>
      <c r="H88" s="25">
        <v>8</v>
      </c>
      <c r="I88" s="25">
        <v>7</v>
      </c>
      <c r="J88" s="25">
        <v>7</v>
      </c>
      <c r="K88" s="25"/>
      <c r="L88" s="7" t="s">
        <v>497</v>
      </c>
      <c r="M88" s="7"/>
      <c r="N88" s="158"/>
      <c r="O88" s="158"/>
      <c r="P88" s="158"/>
    </row>
    <row r="89" spans="3:16" ht="18" customHeight="1">
      <c r="C89" s="142" t="s">
        <v>130</v>
      </c>
      <c r="D89" s="141" t="s">
        <v>583</v>
      </c>
      <c r="E89" s="141" t="s">
        <v>400</v>
      </c>
      <c r="F89" s="144" t="s">
        <v>588</v>
      </c>
      <c r="G89" s="144" t="s">
        <v>589</v>
      </c>
      <c r="H89" s="25">
        <v>7</v>
      </c>
      <c r="I89" s="25">
        <v>6</v>
      </c>
      <c r="J89" s="25">
        <v>6</v>
      </c>
      <c r="K89" s="25"/>
      <c r="L89" s="7" t="s">
        <v>236</v>
      </c>
      <c r="M89" s="7"/>
      <c r="N89" s="158"/>
      <c r="O89" s="158"/>
      <c r="P89" s="158"/>
    </row>
    <row r="90" spans="3:16" ht="18" customHeight="1">
      <c r="C90" s="142" t="s">
        <v>130</v>
      </c>
      <c r="D90" s="141" t="s">
        <v>583</v>
      </c>
      <c r="E90" s="141" t="s">
        <v>403</v>
      </c>
      <c r="F90" s="144" t="s">
        <v>590</v>
      </c>
      <c r="G90" s="144" t="s">
        <v>591</v>
      </c>
      <c r="H90" s="25">
        <v>6</v>
      </c>
      <c r="I90" s="25">
        <v>6</v>
      </c>
      <c r="J90" s="25">
        <v>6</v>
      </c>
      <c r="K90" s="25"/>
      <c r="L90" s="7" t="s">
        <v>236</v>
      </c>
      <c r="M90" s="7"/>
      <c r="N90" s="158"/>
      <c r="O90" s="158"/>
      <c r="P90" s="158"/>
    </row>
    <row r="91" spans="3:16" ht="18" customHeight="1">
      <c r="C91" s="142" t="s">
        <v>130</v>
      </c>
      <c r="D91" s="141" t="s">
        <v>583</v>
      </c>
      <c r="E91" s="141" t="s">
        <v>406</v>
      </c>
      <c r="F91" s="144" t="s">
        <v>592</v>
      </c>
      <c r="G91" s="144" t="s">
        <v>593</v>
      </c>
      <c r="H91" s="25">
        <v>7</v>
      </c>
      <c r="I91" s="25">
        <v>5</v>
      </c>
      <c r="J91" s="25">
        <v>6</v>
      </c>
      <c r="K91" s="25"/>
      <c r="L91" s="7" t="s">
        <v>236</v>
      </c>
      <c r="M91" s="7"/>
      <c r="N91" s="158"/>
      <c r="O91" s="158"/>
      <c r="P91" s="158"/>
    </row>
    <row r="92" spans="3:16" ht="18" customHeight="1">
      <c r="C92" s="142" t="s">
        <v>130</v>
      </c>
      <c r="D92" s="141" t="s">
        <v>583</v>
      </c>
      <c r="E92" s="141" t="s">
        <v>409</v>
      </c>
      <c r="F92" s="144" t="s">
        <v>594</v>
      </c>
      <c r="G92" s="144" t="s">
        <v>595</v>
      </c>
      <c r="H92" s="25">
        <v>6</v>
      </c>
      <c r="I92" s="25">
        <v>6</v>
      </c>
      <c r="J92" s="25">
        <v>6</v>
      </c>
      <c r="K92" s="25"/>
      <c r="L92" s="7" t="s">
        <v>236</v>
      </c>
      <c r="M92" s="7"/>
      <c r="N92" s="158"/>
      <c r="O92" s="158"/>
      <c r="P92" s="158"/>
    </row>
    <row r="93" spans="3:16" ht="18" customHeight="1">
      <c r="C93" s="142" t="s">
        <v>130</v>
      </c>
      <c r="D93" s="141" t="s">
        <v>583</v>
      </c>
      <c r="E93" s="141" t="s">
        <v>412</v>
      </c>
      <c r="F93" s="144" t="s">
        <v>596</v>
      </c>
      <c r="G93" s="144" t="s">
        <v>597</v>
      </c>
      <c r="H93" s="25">
        <v>7</v>
      </c>
      <c r="I93" s="25">
        <v>6</v>
      </c>
      <c r="J93" s="25">
        <v>6</v>
      </c>
      <c r="K93" s="25"/>
      <c r="L93" s="7" t="s">
        <v>236</v>
      </c>
      <c r="M93" s="7"/>
      <c r="N93" s="181"/>
      <c r="O93" s="181"/>
      <c r="P93" s="181"/>
    </row>
    <row r="94" spans="3:16" ht="18" customHeight="1">
      <c r="C94" s="35" t="s">
        <v>130</v>
      </c>
      <c r="D94" s="36" t="s">
        <v>245</v>
      </c>
      <c r="E94" s="36" t="s">
        <v>393</v>
      </c>
      <c r="F94" s="129" t="s">
        <v>493</v>
      </c>
      <c r="G94" s="129" t="s">
        <v>598</v>
      </c>
      <c r="H94" s="27">
        <v>8</v>
      </c>
      <c r="I94" s="27">
        <v>6</v>
      </c>
      <c r="J94" s="27">
        <v>8</v>
      </c>
      <c r="K94" s="27"/>
      <c r="L94" s="10" t="s">
        <v>233</v>
      </c>
      <c r="M94" s="10"/>
      <c r="N94" s="182">
        <f>AVERAGE(H94:H100)</f>
        <v>7</v>
      </c>
      <c r="O94" s="182">
        <f>AVERAGE(I94:I100)</f>
        <v>5.8571428571428568</v>
      </c>
      <c r="P94" s="182">
        <f>AVERAGE(J94:J100)</f>
        <v>6.2857142857142856</v>
      </c>
    </row>
    <row r="95" spans="3:16" ht="18" customHeight="1">
      <c r="C95" s="35" t="s">
        <v>130</v>
      </c>
      <c r="D95" s="36" t="s">
        <v>245</v>
      </c>
      <c r="E95" s="36" t="s">
        <v>396</v>
      </c>
      <c r="F95" s="129" t="s">
        <v>599</v>
      </c>
      <c r="G95" s="129" t="s">
        <v>600</v>
      </c>
      <c r="H95" s="27">
        <v>6</v>
      </c>
      <c r="I95" s="27">
        <v>6</v>
      </c>
      <c r="J95" s="27">
        <v>6</v>
      </c>
      <c r="K95" s="27"/>
      <c r="L95" s="10" t="s">
        <v>497</v>
      </c>
      <c r="M95" s="10"/>
      <c r="N95" s="161"/>
      <c r="O95" s="161"/>
      <c r="P95" s="161"/>
    </row>
    <row r="96" spans="3:16" ht="18" customHeight="1">
      <c r="C96" s="35" t="s">
        <v>130</v>
      </c>
      <c r="D96" s="36" t="s">
        <v>245</v>
      </c>
      <c r="E96" s="36" t="s">
        <v>400</v>
      </c>
      <c r="F96" s="129" t="s">
        <v>601</v>
      </c>
      <c r="G96" s="129" t="s">
        <v>602</v>
      </c>
      <c r="H96" s="27">
        <v>7</v>
      </c>
      <c r="I96" s="27">
        <v>6</v>
      </c>
      <c r="J96" s="27">
        <v>6</v>
      </c>
      <c r="K96" s="27"/>
      <c r="L96" s="10" t="s">
        <v>250</v>
      </c>
      <c r="M96" s="10"/>
      <c r="N96" s="161"/>
      <c r="O96" s="161"/>
      <c r="P96" s="161"/>
    </row>
    <row r="97" spans="3:16" ht="18" customHeight="1">
      <c r="C97" s="35" t="s">
        <v>130</v>
      </c>
      <c r="D97" s="36" t="s">
        <v>245</v>
      </c>
      <c r="E97" s="36" t="s">
        <v>403</v>
      </c>
      <c r="F97" s="129" t="s">
        <v>603</v>
      </c>
      <c r="G97" s="129" t="s">
        <v>604</v>
      </c>
      <c r="H97" s="27">
        <v>8</v>
      </c>
      <c r="I97" s="27">
        <v>6</v>
      </c>
      <c r="J97" s="27">
        <v>6</v>
      </c>
      <c r="K97" s="27"/>
      <c r="L97" s="10" t="s">
        <v>250</v>
      </c>
      <c r="M97" s="10"/>
      <c r="N97" s="161"/>
      <c r="O97" s="161"/>
      <c r="P97" s="161"/>
    </row>
    <row r="98" spans="3:16" ht="18" customHeight="1">
      <c r="C98" s="35" t="s">
        <v>130</v>
      </c>
      <c r="D98" s="36" t="s">
        <v>245</v>
      </c>
      <c r="E98" s="36" t="s">
        <v>406</v>
      </c>
      <c r="F98" s="129" t="s">
        <v>605</v>
      </c>
      <c r="G98" s="129" t="s">
        <v>606</v>
      </c>
      <c r="H98" s="27">
        <v>7</v>
      </c>
      <c r="I98" s="27">
        <v>5</v>
      </c>
      <c r="J98" s="27">
        <v>6</v>
      </c>
      <c r="K98" s="27"/>
      <c r="L98" s="10" t="s">
        <v>250</v>
      </c>
      <c r="M98" s="10"/>
      <c r="N98" s="161"/>
      <c r="O98" s="161"/>
      <c r="P98" s="161"/>
    </row>
    <row r="99" spans="3:16" ht="18" customHeight="1">
      <c r="C99" s="35" t="s">
        <v>130</v>
      </c>
      <c r="D99" s="36" t="s">
        <v>245</v>
      </c>
      <c r="E99" s="36" t="s">
        <v>409</v>
      </c>
      <c r="F99" s="129" t="s">
        <v>607</v>
      </c>
      <c r="G99" s="129" t="s">
        <v>608</v>
      </c>
      <c r="H99" s="27">
        <v>7</v>
      </c>
      <c r="I99" s="27">
        <v>6</v>
      </c>
      <c r="J99" s="27">
        <v>6</v>
      </c>
      <c r="K99" s="27"/>
      <c r="L99" s="10" t="s">
        <v>250</v>
      </c>
      <c r="M99" s="10"/>
      <c r="N99" s="161"/>
      <c r="O99" s="161"/>
      <c r="P99" s="161"/>
    </row>
    <row r="100" spans="3:16" ht="18" customHeight="1">
      <c r="C100" s="35" t="s">
        <v>130</v>
      </c>
      <c r="D100" s="36" t="s">
        <v>245</v>
      </c>
      <c r="E100" s="36" t="s">
        <v>412</v>
      </c>
      <c r="F100" s="129" t="s">
        <v>609</v>
      </c>
      <c r="G100" s="129" t="s">
        <v>610</v>
      </c>
      <c r="H100" s="27">
        <v>6</v>
      </c>
      <c r="I100" s="27">
        <v>6</v>
      </c>
      <c r="J100" s="27">
        <v>6</v>
      </c>
      <c r="K100" s="27"/>
      <c r="L100" s="10" t="s">
        <v>250</v>
      </c>
      <c r="M100" s="10"/>
      <c r="N100" s="183"/>
      <c r="O100" s="183"/>
      <c r="P100" s="183"/>
    </row>
    <row r="101" spans="3:16" ht="18" customHeight="1">
      <c r="C101" s="142" t="s">
        <v>130</v>
      </c>
      <c r="D101" s="141" t="s">
        <v>611</v>
      </c>
      <c r="E101" s="141" t="s">
        <v>393</v>
      </c>
      <c r="F101" s="144" t="s">
        <v>612</v>
      </c>
      <c r="G101" s="144" t="s">
        <v>613</v>
      </c>
      <c r="H101" s="25">
        <v>6</v>
      </c>
      <c r="I101" s="25">
        <v>6</v>
      </c>
      <c r="J101" s="25">
        <v>8</v>
      </c>
      <c r="K101" s="25"/>
      <c r="L101" s="7" t="s">
        <v>262</v>
      </c>
      <c r="M101" s="7"/>
      <c r="N101" s="180">
        <f>AVERAGE(H101:H107)</f>
        <v>6</v>
      </c>
      <c r="O101" s="180">
        <f>AVERAGE(I101:I107)</f>
        <v>6</v>
      </c>
      <c r="P101" s="180">
        <f>AVERAGE(J101:J107)</f>
        <v>6.5714285714285712</v>
      </c>
    </row>
    <row r="102" spans="3:16" ht="18" customHeight="1">
      <c r="C102" s="142" t="s">
        <v>130</v>
      </c>
      <c r="D102" s="141" t="s">
        <v>611</v>
      </c>
      <c r="E102" s="141" t="s">
        <v>396</v>
      </c>
      <c r="F102" s="144" t="s">
        <v>614</v>
      </c>
      <c r="G102" s="144" t="s">
        <v>435</v>
      </c>
      <c r="H102" s="25">
        <v>6</v>
      </c>
      <c r="I102" s="25">
        <v>6</v>
      </c>
      <c r="J102" s="25">
        <v>6</v>
      </c>
      <c r="K102" s="25"/>
      <c r="L102" s="7" t="s">
        <v>262</v>
      </c>
      <c r="M102" s="7"/>
      <c r="N102" s="158"/>
      <c r="O102" s="158"/>
      <c r="P102" s="158"/>
    </row>
    <row r="103" spans="3:16" ht="18" customHeight="1">
      <c r="C103" s="142" t="s">
        <v>130</v>
      </c>
      <c r="D103" s="141" t="s">
        <v>611</v>
      </c>
      <c r="E103" s="141" t="s">
        <v>400</v>
      </c>
      <c r="F103" s="144" t="s">
        <v>615</v>
      </c>
      <c r="G103" s="144" t="s">
        <v>616</v>
      </c>
      <c r="H103" s="25">
        <v>6</v>
      </c>
      <c r="I103" s="25">
        <v>6</v>
      </c>
      <c r="J103" s="25">
        <v>7</v>
      </c>
      <c r="K103" s="25"/>
      <c r="L103" s="7" t="s">
        <v>262</v>
      </c>
      <c r="M103" s="7"/>
      <c r="N103" s="158"/>
      <c r="O103" s="158"/>
      <c r="P103" s="158"/>
    </row>
    <row r="104" spans="3:16" ht="18" customHeight="1">
      <c r="C104" s="142" t="s">
        <v>130</v>
      </c>
      <c r="D104" s="141" t="s">
        <v>611</v>
      </c>
      <c r="E104" s="141" t="s">
        <v>403</v>
      </c>
      <c r="F104" s="144" t="s">
        <v>617</v>
      </c>
      <c r="G104" s="144" t="s">
        <v>618</v>
      </c>
      <c r="H104" s="25">
        <v>6</v>
      </c>
      <c r="I104" s="25">
        <v>6</v>
      </c>
      <c r="J104" s="25">
        <v>6</v>
      </c>
      <c r="K104" s="25"/>
      <c r="L104" s="7" t="s">
        <v>262</v>
      </c>
      <c r="M104" s="7"/>
      <c r="N104" s="158"/>
      <c r="O104" s="158"/>
      <c r="P104" s="158"/>
    </row>
    <row r="105" spans="3:16" ht="18" customHeight="1">
      <c r="C105" s="142" t="s">
        <v>130</v>
      </c>
      <c r="D105" s="141" t="s">
        <v>611</v>
      </c>
      <c r="E105" s="141" t="s">
        <v>406</v>
      </c>
      <c r="F105" s="144" t="s">
        <v>619</v>
      </c>
      <c r="G105" s="144" t="s">
        <v>620</v>
      </c>
      <c r="H105" s="25">
        <v>6</v>
      </c>
      <c r="I105" s="25">
        <v>6</v>
      </c>
      <c r="J105" s="25">
        <v>7</v>
      </c>
      <c r="K105" s="25"/>
      <c r="L105" s="7" t="s">
        <v>262</v>
      </c>
      <c r="M105" s="7"/>
      <c r="N105" s="158"/>
      <c r="O105" s="158"/>
      <c r="P105" s="158"/>
    </row>
    <row r="106" spans="3:16" ht="18" customHeight="1">
      <c r="C106" s="142" t="s">
        <v>130</v>
      </c>
      <c r="D106" s="141" t="s">
        <v>611</v>
      </c>
      <c r="E106" s="141" t="s">
        <v>409</v>
      </c>
      <c r="F106" s="144" t="s">
        <v>621</v>
      </c>
      <c r="G106" s="144" t="s">
        <v>622</v>
      </c>
      <c r="H106" s="25">
        <v>6</v>
      </c>
      <c r="I106" s="25">
        <v>6</v>
      </c>
      <c r="J106" s="25">
        <v>6</v>
      </c>
      <c r="K106" s="25"/>
      <c r="L106" s="7" t="s">
        <v>262</v>
      </c>
      <c r="M106" s="7"/>
      <c r="N106" s="158"/>
      <c r="O106" s="158"/>
      <c r="P106" s="158"/>
    </row>
    <row r="107" spans="3:16" ht="18" customHeight="1">
      <c r="C107" s="142" t="s">
        <v>130</v>
      </c>
      <c r="D107" s="141" t="s">
        <v>611</v>
      </c>
      <c r="E107" s="141" t="s">
        <v>412</v>
      </c>
      <c r="F107" s="144" t="s">
        <v>623</v>
      </c>
      <c r="G107" s="144" t="s">
        <v>624</v>
      </c>
      <c r="H107" s="25">
        <v>6</v>
      </c>
      <c r="I107" s="25">
        <v>6</v>
      </c>
      <c r="J107" s="25">
        <v>6</v>
      </c>
      <c r="K107" s="25"/>
      <c r="L107" s="7" t="s">
        <v>262</v>
      </c>
      <c r="M107" s="7"/>
      <c r="N107" s="181"/>
      <c r="O107" s="181"/>
      <c r="P107" s="181"/>
    </row>
    <row r="108" spans="3:16" ht="18" customHeight="1">
      <c r="C108" s="35" t="s">
        <v>130</v>
      </c>
      <c r="D108" s="36" t="s">
        <v>625</v>
      </c>
      <c r="E108" s="36" t="s">
        <v>393</v>
      </c>
      <c r="F108" s="129" t="s">
        <v>626</v>
      </c>
      <c r="G108" s="129" t="s">
        <v>627</v>
      </c>
      <c r="H108" s="59">
        <v>6</v>
      </c>
      <c r="I108" s="59">
        <v>6</v>
      </c>
      <c r="J108" s="59">
        <v>8</v>
      </c>
      <c r="K108" s="59"/>
      <c r="L108" s="60" t="s">
        <v>262</v>
      </c>
      <c r="M108" s="60"/>
      <c r="N108" s="178">
        <f>AVERAGE(H108:H114)</f>
        <v>6</v>
      </c>
      <c r="O108" s="178">
        <f>AVERAGE(I108:I114)</f>
        <v>6</v>
      </c>
      <c r="P108" s="178">
        <f>AVERAGE(J108:J114)</f>
        <v>6.5714285714285712</v>
      </c>
    </row>
    <row r="109" spans="3:16" ht="18" customHeight="1">
      <c r="C109" s="35" t="s">
        <v>130</v>
      </c>
      <c r="D109" s="36" t="s">
        <v>625</v>
      </c>
      <c r="E109" s="36" t="s">
        <v>396</v>
      </c>
      <c r="F109" s="129" t="s">
        <v>628</v>
      </c>
      <c r="G109" s="129" t="s">
        <v>629</v>
      </c>
      <c r="H109" s="59">
        <v>6</v>
      </c>
      <c r="I109" s="59">
        <v>6</v>
      </c>
      <c r="J109" s="59">
        <v>6</v>
      </c>
      <c r="K109" s="59"/>
      <c r="L109" s="60" t="s">
        <v>262</v>
      </c>
      <c r="M109" s="60"/>
      <c r="N109" s="165"/>
      <c r="O109" s="165"/>
      <c r="P109" s="165"/>
    </row>
    <row r="110" spans="3:16" ht="18" customHeight="1">
      <c r="C110" s="35" t="s">
        <v>130</v>
      </c>
      <c r="D110" s="36" t="s">
        <v>625</v>
      </c>
      <c r="E110" s="36" t="s">
        <v>400</v>
      </c>
      <c r="F110" s="129" t="s">
        <v>630</v>
      </c>
      <c r="G110" s="129" t="s">
        <v>631</v>
      </c>
      <c r="H110" s="59">
        <v>6</v>
      </c>
      <c r="I110" s="59">
        <v>6</v>
      </c>
      <c r="J110" s="59">
        <v>7</v>
      </c>
      <c r="K110" s="59"/>
      <c r="L110" s="60" t="s">
        <v>262</v>
      </c>
      <c r="M110" s="60"/>
      <c r="N110" s="165"/>
      <c r="O110" s="165"/>
      <c r="P110" s="165"/>
    </row>
    <row r="111" spans="3:16" ht="18" customHeight="1">
      <c r="C111" s="35" t="s">
        <v>130</v>
      </c>
      <c r="D111" s="36" t="s">
        <v>625</v>
      </c>
      <c r="E111" s="36" t="s">
        <v>403</v>
      </c>
      <c r="F111" s="129" t="s">
        <v>632</v>
      </c>
      <c r="G111" s="129" t="s">
        <v>633</v>
      </c>
      <c r="H111" s="59">
        <v>6</v>
      </c>
      <c r="I111" s="59">
        <v>6</v>
      </c>
      <c r="J111" s="59">
        <v>6</v>
      </c>
      <c r="K111" s="59"/>
      <c r="L111" s="60" t="s">
        <v>262</v>
      </c>
      <c r="M111" s="60"/>
      <c r="N111" s="165"/>
      <c r="O111" s="165"/>
      <c r="P111" s="165"/>
    </row>
    <row r="112" spans="3:16" ht="18" customHeight="1">
      <c r="C112" s="35" t="s">
        <v>130</v>
      </c>
      <c r="D112" s="36" t="s">
        <v>625</v>
      </c>
      <c r="E112" s="36" t="s">
        <v>406</v>
      </c>
      <c r="F112" s="129" t="s">
        <v>634</v>
      </c>
      <c r="G112" s="129" t="s">
        <v>635</v>
      </c>
      <c r="H112" s="59">
        <v>6</v>
      </c>
      <c r="I112" s="59">
        <v>6</v>
      </c>
      <c r="J112" s="59">
        <v>7</v>
      </c>
      <c r="K112" s="59"/>
      <c r="L112" s="60" t="s">
        <v>262</v>
      </c>
      <c r="M112" s="60"/>
      <c r="N112" s="165"/>
      <c r="O112" s="165"/>
      <c r="P112" s="165"/>
    </row>
    <row r="113" spans="3:16" ht="18" customHeight="1">
      <c r="C113" s="35" t="s">
        <v>130</v>
      </c>
      <c r="D113" s="36" t="s">
        <v>625</v>
      </c>
      <c r="E113" s="36" t="s">
        <v>409</v>
      </c>
      <c r="F113" s="129" t="s">
        <v>636</v>
      </c>
      <c r="G113" s="129" t="s">
        <v>637</v>
      </c>
      <c r="H113" s="59">
        <v>6</v>
      </c>
      <c r="I113" s="59">
        <v>6</v>
      </c>
      <c r="J113" s="59">
        <v>6</v>
      </c>
      <c r="K113" s="59"/>
      <c r="L113" s="60" t="s">
        <v>262</v>
      </c>
      <c r="M113" s="60"/>
      <c r="N113" s="165"/>
      <c r="O113" s="165"/>
      <c r="P113" s="165"/>
    </row>
    <row r="114" spans="3:16" ht="18" customHeight="1">
      <c r="C114" s="35" t="s">
        <v>130</v>
      </c>
      <c r="D114" s="36" t="s">
        <v>625</v>
      </c>
      <c r="E114" s="36" t="s">
        <v>412</v>
      </c>
      <c r="F114" s="129" t="s">
        <v>638</v>
      </c>
      <c r="G114" s="129" t="s">
        <v>639</v>
      </c>
      <c r="H114" s="59">
        <v>6</v>
      </c>
      <c r="I114" s="59">
        <v>6</v>
      </c>
      <c r="J114" s="59">
        <v>6</v>
      </c>
      <c r="K114" s="59"/>
      <c r="L114" s="60" t="s">
        <v>262</v>
      </c>
      <c r="M114" s="60"/>
      <c r="N114" s="179"/>
      <c r="O114" s="179"/>
      <c r="P114" s="179"/>
    </row>
    <row r="115" spans="3:16" ht="18" customHeight="1">
      <c r="C115" s="142" t="s">
        <v>130</v>
      </c>
      <c r="D115" s="141" t="s">
        <v>640</v>
      </c>
      <c r="E115" s="141" t="s">
        <v>393</v>
      </c>
      <c r="F115" s="144" t="s">
        <v>641</v>
      </c>
      <c r="G115" s="144" t="s">
        <v>642</v>
      </c>
      <c r="H115" s="25">
        <v>6</v>
      </c>
      <c r="I115" s="25">
        <v>6</v>
      </c>
      <c r="J115" s="25">
        <v>8</v>
      </c>
      <c r="K115" s="25"/>
      <c r="L115" s="7" t="s">
        <v>262</v>
      </c>
      <c r="M115" s="7"/>
      <c r="N115" s="180">
        <f>AVERAGE(H115:H121)</f>
        <v>6</v>
      </c>
      <c r="O115" s="180">
        <f>AVERAGE(I115:I121)</f>
        <v>6</v>
      </c>
      <c r="P115" s="180">
        <f>AVERAGE(J115:J121)</f>
        <v>6.5714285714285712</v>
      </c>
    </row>
    <row r="116" spans="3:16" ht="18" customHeight="1">
      <c r="C116" s="142" t="s">
        <v>130</v>
      </c>
      <c r="D116" s="141" t="s">
        <v>640</v>
      </c>
      <c r="E116" s="141" t="s">
        <v>396</v>
      </c>
      <c r="F116" s="144" t="s">
        <v>643</v>
      </c>
      <c r="G116" s="144" t="s">
        <v>644</v>
      </c>
      <c r="H116" s="25">
        <v>6</v>
      </c>
      <c r="I116" s="25">
        <v>6</v>
      </c>
      <c r="J116" s="25">
        <v>6</v>
      </c>
      <c r="K116" s="25"/>
      <c r="L116" s="7" t="s">
        <v>262</v>
      </c>
      <c r="M116" s="7"/>
      <c r="N116" s="158"/>
      <c r="O116" s="158"/>
      <c r="P116" s="158"/>
    </row>
    <row r="117" spans="3:16" ht="18" customHeight="1">
      <c r="C117" s="142" t="s">
        <v>130</v>
      </c>
      <c r="D117" s="141" t="s">
        <v>640</v>
      </c>
      <c r="E117" s="141" t="s">
        <v>400</v>
      </c>
      <c r="F117" s="144" t="s">
        <v>645</v>
      </c>
      <c r="G117" s="144" t="s">
        <v>646</v>
      </c>
      <c r="H117" s="25">
        <v>6</v>
      </c>
      <c r="I117" s="25">
        <v>6</v>
      </c>
      <c r="J117" s="25">
        <v>7</v>
      </c>
      <c r="K117" s="25"/>
      <c r="L117" s="7" t="s">
        <v>262</v>
      </c>
      <c r="M117" s="7"/>
      <c r="N117" s="158"/>
      <c r="O117" s="158"/>
      <c r="P117" s="158"/>
    </row>
    <row r="118" spans="3:16" ht="18" customHeight="1">
      <c r="C118" s="142" t="s">
        <v>130</v>
      </c>
      <c r="D118" s="141" t="s">
        <v>640</v>
      </c>
      <c r="E118" s="141" t="s">
        <v>403</v>
      </c>
      <c r="F118" s="144" t="s">
        <v>647</v>
      </c>
      <c r="G118" s="144" t="s">
        <v>648</v>
      </c>
      <c r="H118" s="25">
        <v>6</v>
      </c>
      <c r="I118" s="25">
        <v>6</v>
      </c>
      <c r="J118" s="25">
        <v>6</v>
      </c>
      <c r="K118" s="25"/>
      <c r="L118" s="7" t="s">
        <v>262</v>
      </c>
      <c r="M118" s="7"/>
      <c r="N118" s="158"/>
      <c r="O118" s="158"/>
      <c r="P118" s="158"/>
    </row>
    <row r="119" spans="3:16" ht="18" customHeight="1">
      <c r="C119" s="142" t="s">
        <v>130</v>
      </c>
      <c r="D119" s="141" t="s">
        <v>640</v>
      </c>
      <c r="E119" s="141" t="s">
        <v>406</v>
      </c>
      <c r="F119" s="144" t="s">
        <v>649</v>
      </c>
      <c r="G119" s="144" t="s">
        <v>650</v>
      </c>
      <c r="H119" s="25">
        <v>6</v>
      </c>
      <c r="I119" s="25">
        <v>6</v>
      </c>
      <c r="J119" s="25">
        <v>7</v>
      </c>
      <c r="K119" s="25"/>
      <c r="L119" s="7" t="s">
        <v>262</v>
      </c>
      <c r="M119" s="7"/>
      <c r="N119" s="158"/>
      <c r="O119" s="158"/>
      <c r="P119" s="158"/>
    </row>
    <row r="120" spans="3:16" ht="18" customHeight="1">
      <c r="C120" s="142" t="s">
        <v>130</v>
      </c>
      <c r="D120" s="141" t="s">
        <v>640</v>
      </c>
      <c r="E120" s="141" t="s">
        <v>409</v>
      </c>
      <c r="F120" s="144" t="s">
        <v>651</v>
      </c>
      <c r="G120" s="144" t="s">
        <v>652</v>
      </c>
      <c r="H120" s="25">
        <v>6</v>
      </c>
      <c r="I120" s="25">
        <v>6</v>
      </c>
      <c r="J120" s="25">
        <v>6</v>
      </c>
      <c r="K120" s="25"/>
      <c r="L120" s="7" t="s">
        <v>262</v>
      </c>
      <c r="M120" s="7"/>
      <c r="N120" s="158"/>
      <c r="O120" s="158"/>
      <c r="P120" s="158"/>
    </row>
    <row r="121" spans="3:16" ht="18" customHeight="1">
      <c r="C121" s="142" t="s">
        <v>130</v>
      </c>
      <c r="D121" s="141" t="s">
        <v>640</v>
      </c>
      <c r="E121" s="141" t="s">
        <v>412</v>
      </c>
      <c r="F121" s="144" t="s">
        <v>653</v>
      </c>
      <c r="G121" s="144" t="s">
        <v>654</v>
      </c>
      <c r="H121" s="25">
        <v>6</v>
      </c>
      <c r="I121" s="25">
        <v>6</v>
      </c>
      <c r="J121" s="25">
        <v>6</v>
      </c>
      <c r="K121" s="25"/>
      <c r="L121" s="7" t="s">
        <v>262</v>
      </c>
      <c r="M121" s="7"/>
      <c r="N121" s="181"/>
      <c r="O121" s="181"/>
      <c r="P121" s="181"/>
    </row>
    <row r="122" spans="3:16" ht="18" customHeight="1">
      <c r="C122" s="35" t="s">
        <v>130</v>
      </c>
      <c r="D122" s="36" t="s">
        <v>655</v>
      </c>
      <c r="E122" s="36" t="s">
        <v>393</v>
      </c>
      <c r="F122" s="129" t="s">
        <v>656</v>
      </c>
      <c r="G122" s="129" t="s">
        <v>657</v>
      </c>
      <c r="H122" s="59">
        <v>6</v>
      </c>
      <c r="I122" s="59">
        <v>6</v>
      </c>
      <c r="J122" s="59">
        <v>8</v>
      </c>
      <c r="K122" s="59"/>
      <c r="L122" s="60" t="s">
        <v>262</v>
      </c>
      <c r="M122" s="60"/>
      <c r="N122" s="178">
        <f>AVERAGE(H122:H128)</f>
        <v>6</v>
      </c>
      <c r="O122" s="178">
        <f>AVERAGE(I122:I128)</f>
        <v>6</v>
      </c>
      <c r="P122" s="178">
        <f>AVERAGE(J122:J128)</f>
        <v>6.5714285714285712</v>
      </c>
    </row>
    <row r="123" spans="3:16" ht="18" customHeight="1">
      <c r="C123" s="35" t="s">
        <v>130</v>
      </c>
      <c r="D123" s="36" t="s">
        <v>655</v>
      </c>
      <c r="E123" s="36" t="s">
        <v>396</v>
      </c>
      <c r="F123" s="129" t="s">
        <v>658</v>
      </c>
      <c r="G123" s="129" t="s">
        <v>659</v>
      </c>
      <c r="H123" s="59">
        <v>6</v>
      </c>
      <c r="I123" s="59">
        <v>6</v>
      </c>
      <c r="J123" s="59">
        <v>6</v>
      </c>
      <c r="K123" s="59"/>
      <c r="L123" s="60" t="s">
        <v>262</v>
      </c>
      <c r="M123" s="60"/>
      <c r="N123" s="165"/>
      <c r="O123" s="165"/>
      <c r="P123" s="165"/>
    </row>
    <row r="124" spans="3:16" ht="18" customHeight="1">
      <c r="C124" s="35" t="s">
        <v>130</v>
      </c>
      <c r="D124" s="36" t="s">
        <v>655</v>
      </c>
      <c r="E124" s="36" t="s">
        <v>400</v>
      </c>
      <c r="F124" s="129" t="s">
        <v>660</v>
      </c>
      <c r="G124" s="129" t="s">
        <v>661</v>
      </c>
      <c r="H124" s="59">
        <v>6</v>
      </c>
      <c r="I124" s="59">
        <v>6</v>
      </c>
      <c r="J124" s="59">
        <v>7</v>
      </c>
      <c r="K124" s="59"/>
      <c r="L124" s="60" t="s">
        <v>262</v>
      </c>
      <c r="M124" s="60"/>
      <c r="N124" s="165"/>
      <c r="O124" s="165"/>
      <c r="P124" s="165"/>
    </row>
    <row r="125" spans="3:16" ht="18" customHeight="1">
      <c r="C125" s="35" t="s">
        <v>130</v>
      </c>
      <c r="D125" s="36" t="s">
        <v>655</v>
      </c>
      <c r="E125" s="36" t="s">
        <v>403</v>
      </c>
      <c r="F125" s="129" t="s">
        <v>662</v>
      </c>
      <c r="G125" s="129" t="s">
        <v>663</v>
      </c>
      <c r="H125" s="59">
        <v>6</v>
      </c>
      <c r="I125" s="59">
        <v>6</v>
      </c>
      <c r="J125" s="59">
        <v>6</v>
      </c>
      <c r="K125" s="59"/>
      <c r="L125" s="60" t="s">
        <v>262</v>
      </c>
      <c r="M125" s="60"/>
      <c r="N125" s="165"/>
      <c r="O125" s="165"/>
      <c r="P125" s="165"/>
    </row>
    <row r="126" spans="3:16" ht="18" customHeight="1">
      <c r="C126" s="35" t="s">
        <v>130</v>
      </c>
      <c r="D126" s="36" t="s">
        <v>655</v>
      </c>
      <c r="E126" s="36" t="s">
        <v>406</v>
      </c>
      <c r="F126" s="129" t="s">
        <v>664</v>
      </c>
      <c r="G126" s="129" t="s">
        <v>665</v>
      </c>
      <c r="H126" s="59">
        <v>6</v>
      </c>
      <c r="I126" s="59">
        <v>6</v>
      </c>
      <c r="J126" s="59">
        <v>7</v>
      </c>
      <c r="K126" s="59"/>
      <c r="L126" s="60" t="s">
        <v>262</v>
      </c>
      <c r="M126" s="60"/>
      <c r="N126" s="165"/>
      <c r="O126" s="165"/>
      <c r="P126" s="165"/>
    </row>
    <row r="127" spans="3:16" ht="18" customHeight="1">
      <c r="C127" s="35" t="s">
        <v>130</v>
      </c>
      <c r="D127" s="36" t="s">
        <v>655</v>
      </c>
      <c r="E127" s="36" t="s">
        <v>409</v>
      </c>
      <c r="F127" s="129" t="s">
        <v>666</v>
      </c>
      <c r="G127" s="129" t="s">
        <v>667</v>
      </c>
      <c r="H127" s="59">
        <v>6</v>
      </c>
      <c r="I127" s="59">
        <v>6</v>
      </c>
      <c r="J127" s="59">
        <v>6</v>
      </c>
      <c r="K127" s="59"/>
      <c r="L127" s="60" t="s">
        <v>262</v>
      </c>
      <c r="M127" s="60"/>
      <c r="N127" s="165"/>
      <c r="O127" s="165"/>
      <c r="P127" s="165"/>
    </row>
    <row r="128" spans="3:16" ht="18" customHeight="1">
      <c r="C128" s="35" t="s">
        <v>130</v>
      </c>
      <c r="D128" s="36" t="s">
        <v>655</v>
      </c>
      <c r="E128" s="36" t="s">
        <v>412</v>
      </c>
      <c r="F128" s="129" t="s">
        <v>668</v>
      </c>
      <c r="G128" s="129" t="s">
        <v>669</v>
      </c>
      <c r="H128" s="59">
        <v>6</v>
      </c>
      <c r="I128" s="59">
        <v>6</v>
      </c>
      <c r="J128" s="59">
        <v>6</v>
      </c>
      <c r="K128" s="59"/>
      <c r="L128" s="60" t="s">
        <v>262</v>
      </c>
      <c r="M128" s="60"/>
      <c r="N128" s="179"/>
      <c r="O128" s="179"/>
      <c r="P128" s="179"/>
    </row>
    <row r="129" spans="3:16" ht="18" customHeight="1">
      <c r="C129" s="142" t="s">
        <v>130</v>
      </c>
      <c r="D129" s="141" t="s">
        <v>670</v>
      </c>
      <c r="E129" s="141" t="s">
        <v>393</v>
      </c>
      <c r="F129" s="144" t="s">
        <v>671</v>
      </c>
      <c r="G129" s="144" t="s">
        <v>672</v>
      </c>
      <c r="H129" s="25">
        <v>6</v>
      </c>
      <c r="I129" s="25">
        <v>6</v>
      </c>
      <c r="J129" s="25">
        <v>8</v>
      </c>
      <c r="K129" s="25"/>
      <c r="L129" s="7" t="s">
        <v>262</v>
      </c>
      <c r="M129" s="7"/>
      <c r="N129" s="180">
        <f>AVERAGE(H129:H135)</f>
        <v>6</v>
      </c>
      <c r="O129" s="180">
        <f>AVERAGE(I129:I135)</f>
        <v>6</v>
      </c>
      <c r="P129" s="180">
        <f>AVERAGE(J129:J135)</f>
        <v>6.5714285714285712</v>
      </c>
    </row>
    <row r="130" spans="3:16" ht="18" customHeight="1">
      <c r="C130" s="142" t="s">
        <v>130</v>
      </c>
      <c r="D130" s="141" t="s">
        <v>670</v>
      </c>
      <c r="E130" s="141" t="s">
        <v>396</v>
      </c>
      <c r="F130" s="144" t="s">
        <v>673</v>
      </c>
      <c r="G130" s="144" t="s">
        <v>674</v>
      </c>
      <c r="H130" s="25">
        <v>6</v>
      </c>
      <c r="I130" s="25">
        <v>6</v>
      </c>
      <c r="J130" s="25">
        <v>6</v>
      </c>
      <c r="K130" s="25"/>
      <c r="L130" s="7" t="s">
        <v>262</v>
      </c>
      <c r="M130" s="7"/>
      <c r="N130" s="158"/>
      <c r="O130" s="158"/>
      <c r="P130" s="158"/>
    </row>
    <row r="131" spans="3:16" ht="18" customHeight="1">
      <c r="C131" s="142" t="s">
        <v>130</v>
      </c>
      <c r="D131" s="141" t="s">
        <v>670</v>
      </c>
      <c r="E131" s="141" t="s">
        <v>400</v>
      </c>
      <c r="F131" s="144" t="s">
        <v>675</v>
      </c>
      <c r="G131" s="144" t="s">
        <v>676</v>
      </c>
      <c r="H131" s="25">
        <v>6</v>
      </c>
      <c r="I131" s="25">
        <v>6</v>
      </c>
      <c r="J131" s="25">
        <v>7</v>
      </c>
      <c r="K131" s="25"/>
      <c r="L131" s="7" t="s">
        <v>262</v>
      </c>
      <c r="M131" s="7"/>
      <c r="N131" s="158"/>
      <c r="O131" s="158"/>
      <c r="P131" s="158"/>
    </row>
    <row r="132" spans="3:16" ht="18" customHeight="1">
      <c r="C132" s="142" t="s">
        <v>130</v>
      </c>
      <c r="D132" s="141" t="s">
        <v>670</v>
      </c>
      <c r="E132" s="141" t="s">
        <v>403</v>
      </c>
      <c r="F132" s="144" t="s">
        <v>677</v>
      </c>
      <c r="G132" s="144" t="s">
        <v>678</v>
      </c>
      <c r="H132" s="25">
        <v>6</v>
      </c>
      <c r="I132" s="25">
        <v>6</v>
      </c>
      <c r="J132" s="25">
        <v>6</v>
      </c>
      <c r="K132" s="25"/>
      <c r="L132" s="7" t="s">
        <v>262</v>
      </c>
      <c r="M132" s="7"/>
      <c r="N132" s="158"/>
      <c r="O132" s="158"/>
      <c r="P132" s="158"/>
    </row>
    <row r="133" spans="3:16" ht="18" customHeight="1">
      <c r="C133" s="142" t="s">
        <v>130</v>
      </c>
      <c r="D133" s="141" t="s">
        <v>670</v>
      </c>
      <c r="E133" s="141" t="s">
        <v>406</v>
      </c>
      <c r="F133" s="144" t="s">
        <v>679</v>
      </c>
      <c r="G133" s="144" t="s">
        <v>680</v>
      </c>
      <c r="H133" s="25">
        <v>6</v>
      </c>
      <c r="I133" s="25">
        <v>6</v>
      </c>
      <c r="J133" s="25">
        <v>7</v>
      </c>
      <c r="K133" s="25"/>
      <c r="L133" s="7" t="s">
        <v>262</v>
      </c>
      <c r="M133" s="7"/>
      <c r="N133" s="158"/>
      <c r="O133" s="158"/>
      <c r="P133" s="158"/>
    </row>
    <row r="134" spans="3:16" ht="18" customHeight="1">
      <c r="C134" s="142" t="s">
        <v>130</v>
      </c>
      <c r="D134" s="141" t="s">
        <v>670</v>
      </c>
      <c r="E134" s="141" t="s">
        <v>409</v>
      </c>
      <c r="F134" s="144" t="s">
        <v>681</v>
      </c>
      <c r="G134" s="144" t="s">
        <v>682</v>
      </c>
      <c r="H134" s="25">
        <v>6</v>
      </c>
      <c r="I134" s="25">
        <v>6</v>
      </c>
      <c r="J134" s="25">
        <v>6</v>
      </c>
      <c r="K134" s="25"/>
      <c r="L134" s="7" t="s">
        <v>262</v>
      </c>
      <c r="M134" s="7"/>
      <c r="N134" s="158"/>
      <c r="O134" s="158"/>
      <c r="P134" s="158"/>
    </row>
    <row r="135" spans="3:16" ht="18" customHeight="1">
      <c r="C135" s="142" t="s">
        <v>130</v>
      </c>
      <c r="D135" s="141" t="s">
        <v>670</v>
      </c>
      <c r="E135" s="141" t="s">
        <v>412</v>
      </c>
      <c r="F135" s="144" t="s">
        <v>683</v>
      </c>
      <c r="G135" s="144" t="s">
        <v>684</v>
      </c>
      <c r="H135" s="25">
        <v>6</v>
      </c>
      <c r="I135" s="25">
        <v>6</v>
      </c>
      <c r="J135" s="25">
        <v>6</v>
      </c>
      <c r="K135" s="25"/>
      <c r="L135" s="7" t="s">
        <v>262</v>
      </c>
      <c r="M135" s="7"/>
      <c r="N135" s="181"/>
      <c r="O135" s="181"/>
      <c r="P135" s="181"/>
    </row>
  </sheetData>
  <mergeCells count="57">
    <mergeCell ref="P3:P9"/>
    <mergeCell ref="N10:N16"/>
    <mergeCell ref="O10:O16"/>
    <mergeCell ref="P10:P16"/>
    <mergeCell ref="N17:N23"/>
    <mergeCell ref="O17:O23"/>
    <mergeCell ref="P17:P23"/>
    <mergeCell ref="N3:N9"/>
    <mergeCell ref="O3:O9"/>
    <mergeCell ref="P24:P30"/>
    <mergeCell ref="N31:N37"/>
    <mergeCell ref="O31:O37"/>
    <mergeCell ref="P31:P37"/>
    <mergeCell ref="N38:N44"/>
    <mergeCell ref="O38:O44"/>
    <mergeCell ref="P38:P44"/>
    <mergeCell ref="N24:N30"/>
    <mergeCell ref="O24:O30"/>
    <mergeCell ref="P45:P51"/>
    <mergeCell ref="N52:N58"/>
    <mergeCell ref="O52:O58"/>
    <mergeCell ref="P52:P58"/>
    <mergeCell ref="N59:N65"/>
    <mergeCell ref="O59:O65"/>
    <mergeCell ref="P59:P65"/>
    <mergeCell ref="N45:N51"/>
    <mergeCell ref="O45:O51"/>
    <mergeCell ref="P66:P72"/>
    <mergeCell ref="N73:N79"/>
    <mergeCell ref="O73:O79"/>
    <mergeCell ref="P73:P79"/>
    <mergeCell ref="N80:N86"/>
    <mergeCell ref="O80:O86"/>
    <mergeCell ref="P80:P86"/>
    <mergeCell ref="N66:N72"/>
    <mergeCell ref="O66:O72"/>
    <mergeCell ref="P87:P93"/>
    <mergeCell ref="N94:N100"/>
    <mergeCell ref="O94:O100"/>
    <mergeCell ref="P94:P100"/>
    <mergeCell ref="N101:N107"/>
    <mergeCell ref="O101:O107"/>
    <mergeCell ref="P101:P107"/>
    <mergeCell ref="N87:N93"/>
    <mergeCell ref="O87:O93"/>
    <mergeCell ref="N108:N114"/>
    <mergeCell ref="O108:O114"/>
    <mergeCell ref="P108:P114"/>
    <mergeCell ref="N115:N121"/>
    <mergeCell ref="O115:O121"/>
    <mergeCell ref="P115:P121"/>
    <mergeCell ref="N122:N128"/>
    <mergeCell ref="O122:O128"/>
    <mergeCell ref="P122:P128"/>
    <mergeCell ref="N129:N135"/>
    <mergeCell ref="O129:O135"/>
    <mergeCell ref="P129:P13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822E8-F91D-4A44-9FA7-4CC7A5093E63}">
  <sheetPr>
    <tabColor theme="6" tint="-0.249977111117893"/>
  </sheetPr>
  <dimension ref="D3:N13"/>
  <sheetViews>
    <sheetView zoomScale="85" zoomScaleNormal="85" workbookViewId="0">
      <selection activeCell="J16" sqref="J16"/>
    </sheetView>
  </sheetViews>
  <sheetFormatPr defaultRowHeight="14.45"/>
  <cols>
    <col min="1" max="3" width="2.5703125" customWidth="1"/>
    <col min="4" max="4" width="14.28515625" customWidth="1"/>
    <col min="5" max="5" width="17.7109375" customWidth="1"/>
    <col min="6" max="6" width="12.28515625" customWidth="1"/>
    <col min="7" max="7" width="8.28515625" style="1" customWidth="1"/>
    <col min="8" max="14" width="31.28515625" customWidth="1"/>
  </cols>
  <sheetData>
    <row r="3" spans="4:14" ht="26.65" customHeight="1">
      <c r="D3" s="46" t="s">
        <v>288</v>
      </c>
      <c r="E3" s="46" t="s">
        <v>685</v>
      </c>
      <c r="F3" s="46" t="s">
        <v>686</v>
      </c>
      <c r="G3" s="46" t="s">
        <v>11</v>
      </c>
      <c r="H3" s="46" t="s">
        <v>687</v>
      </c>
      <c r="I3" s="46" t="s">
        <v>396</v>
      </c>
      <c r="J3" s="46" t="s">
        <v>400</v>
      </c>
      <c r="K3" s="46" t="s">
        <v>403</v>
      </c>
      <c r="L3" s="46" t="s">
        <v>688</v>
      </c>
      <c r="M3" s="46" t="s">
        <v>409</v>
      </c>
      <c r="N3" s="46" t="s">
        <v>412</v>
      </c>
    </row>
    <row r="4" spans="4:14" ht="60.95" customHeight="1">
      <c r="D4" s="174" t="s">
        <v>294</v>
      </c>
      <c r="E4" s="184" t="s">
        <v>689</v>
      </c>
      <c r="F4" s="170" t="s">
        <v>296</v>
      </c>
      <c r="G4" s="70">
        <v>1</v>
      </c>
      <c r="H4" s="36" t="s">
        <v>690</v>
      </c>
      <c r="I4" s="36" t="s">
        <v>691</v>
      </c>
      <c r="J4" s="36" t="s">
        <v>692</v>
      </c>
      <c r="K4" s="36" t="s">
        <v>693</v>
      </c>
      <c r="L4" s="36" t="s">
        <v>694</v>
      </c>
      <c r="M4" s="36" t="s">
        <v>695</v>
      </c>
      <c r="N4" s="36" t="s">
        <v>696</v>
      </c>
    </row>
    <row r="5" spans="4:14" ht="60.95" customHeight="1">
      <c r="D5" s="174"/>
      <c r="E5" s="184"/>
      <c r="F5" s="171"/>
      <c r="G5" s="70">
        <v>2</v>
      </c>
      <c r="H5" s="36" t="s">
        <v>697</v>
      </c>
      <c r="I5" s="36" t="s">
        <v>698</v>
      </c>
      <c r="J5" s="36" t="s">
        <v>699</v>
      </c>
      <c r="K5" s="36" t="s">
        <v>700</v>
      </c>
      <c r="L5" s="36" t="s">
        <v>701</v>
      </c>
      <c r="M5" s="36" t="s">
        <v>702</v>
      </c>
      <c r="N5" s="36" t="s">
        <v>703</v>
      </c>
    </row>
    <row r="6" spans="4:14" ht="60.95" customHeight="1">
      <c r="D6" s="174"/>
      <c r="E6" s="184"/>
      <c r="F6" s="171"/>
      <c r="G6" s="70">
        <v>3</v>
      </c>
      <c r="H6" s="36" t="s">
        <v>704</v>
      </c>
      <c r="I6" s="36" t="s">
        <v>705</v>
      </c>
      <c r="J6" s="36" t="s">
        <v>706</v>
      </c>
      <c r="K6" s="36" t="s">
        <v>707</v>
      </c>
      <c r="L6" s="36" t="s">
        <v>708</v>
      </c>
      <c r="M6" s="36" t="s">
        <v>709</v>
      </c>
      <c r="N6" s="36" t="s">
        <v>710</v>
      </c>
    </row>
    <row r="7" spans="4:14" ht="60.95" customHeight="1">
      <c r="D7" s="174"/>
      <c r="E7" s="184"/>
      <c r="F7" s="172"/>
      <c r="G7" s="70">
        <v>4</v>
      </c>
      <c r="H7" s="36" t="s">
        <v>711</v>
      </c>
      <c r="I7" s="36" t="s">
        <v>712</v>
      </c>
      <c r="J7" s="36" t="s">
        <v>713</v>
      </c>
      <c r="K7" s="36" t="s">
        <v>714</v>
      </c>
      <c r="L7" s="36" t="s">
        <v>715</v>
      </c>
      <c r="M7" s="36" t="s">
        <v>716</v>
      </c>
      <c r="N7" s="36" t="s">
        <v>717</v>
      </c>
    </row>
    <row r="8" spans="4:14" ht="60.95" customHeight="1">
      <c r="D8" s="70" t="s">
        <v>329</v>
      </c>
      <c r="E8" s="35" t="s">
        <v>329</v>
      </c>
      <c r="F8" s="70" t="s">
        <v>330</v>
      </c>
      <c r="G8" s="70">
        <v>5</v>
      </c>
      <c r="H8" s="36" t="s">
        <v>718</v>
      </c>
      <c r="I8" s="36" t="s">
        <v>719</v>
      </c>
      <c r="J8" s="36" t="s">
        <v>720</v>
      </c>
      <c r="K8" s="36" t="s">
        <v>721</v>
      </c>
      <c r="L8" s="36" t="s">
        <v>722</v>
      </c>
      <c r="M8" s="36" t="s">
        <v>723</v>
      </c>
      <c r="N8" s="36" t="s">
        <v>724</v>
      </c>
    </row>
    <row r="9" spans="4:14" ht="60.95" customHeight="1">
      <c r="D9" s="70" t="s">
        <v>339</v>
      </c>
      <c r="E9" s="35" t="s">
        <v>340</v>
      </c>
      <c r="F9" s="185"/>
      <c r="G9" s="70">
        <v>6</v>
      </c>
      <c r="H9" s="36" t="s">
        <v>725</v>
      </c>
      <c r="I9" s="36" t="s">
        <v>726</v>
      </c>
      <c r="J9" s="36" t="s">
        <v>727</v>
      </c>
      <c r="K9" s="36" t="s">
        <v>728</v>
      </c>
      <c r="L9" s="36" t="s">
        <v>729</v>
      </c>
      <c r="M9" s="36" t="s">
        <v>730</v>
      </c>
      <c r="N9" s="36" t="s">
        <v>731</v>
      </c>
    </row>
    <row r="10" spans="4:14" ht="60.95" customHeight="1">
      <c r="D10" s="174" t="s">
        <v>732</v>
      </c>
      <c r="E10" s="185" t="s">
        <v>350</v>
      </c>
      <c r="F10" s="187"/>
      <c r="G10" s="70">
        <v>7</v>
      </c>
      <c r="H10" s="36" t="s">
        <v>733</v>
      </c>
      <c r="I10" s="36" t="s">
        <v>734</v>
      </c>
      <c r="J10" s="36" t="s">
        <v>735</v>
      </c>
      <c r="K10" s="36" t="s">
        <v>736</v>
      </c>
      <c r="L10" s="36" t="s">
        <v>737</v>
      </c>
      <c r="M10" s="36" t="s">
        <v>738</v>
      </c>
      <c r="N10" s="36" t="s">
        <v>739</v>
      </c>
    </row>
    <row r="11" spans="4:14" ht="60.95" customHeight="1">
      <c r="D11" s="174"/>
      <c r="E11" s="186"/>
      <c r="F11" s="187"/>
      <c r="G11" s="70">
        <v>8</v>
      </c>
      <c r="H11" s="36" t="s">
        <v>740</v>
      </c>
      <c r="I11" s="36" t="s">
        <v>741</v>
      </c>
      <c r="J11" s="36" t="s">
        <v>742</v>
      </c>
      <c r="K11" s="36" t="s">
        <v>743</v>
      </c>
      <c r="L11" s="36" t="s">
        <v>744</v>
      </c>
      <c r="M11" s="36" t="s">
        <v>745</v>
      </c>
      <c r="N11" s="36" t="s">
        <v>746</v>
      </c>
    </row>
    <row r="12" spans="4:14" ht="60.95" customHeight="1">
      <c r="D12" s="174" t="s">
        <v>367</v>
      </c>
      <c r="E12" s="185" t="s">
        <v>368</v>
      </c>
      <c r="F12" s="187"/>
      <c r="G12" s="70">
        <v>9</v>
      </c>
      <c r="H12" s="36" t="s">
        <v>747</v>
      </c>
      <c r="I12" s="36" t="s">
        <v>748</v>
      </c>
      <c r="J12" s="36" t="s">
        <v>749</v>
      </c>
      <c r="K12" s="36" t="s">
        <v>750</v>
      </c>
      <c r="L12" s="36" t="s">
        <v>751</v>
      </c>
      <c r="M12" s="36" t="s">
        <v>752</v>
      </c>
      <c r="N12" s="36" t="s">
        <v>753</v>
      </c>
    </row>
    <row r="13" spans="4:14" ht="60.95" customHeight="1">
      <c r="D13" s="174"/>
      <c r="E13" s="186"/>
      <c r="F13" s="186"/>
      <c r="G13" s="70">
        <v>10</v>
      </c>
      <c r="H13" s="36" t="s">
        <v>754</v>
      </c>
      <c r="I13" s="36" t="s">
        <v>755</v>
      </c>
      <c r="J13" s="36" t="s">
        <v>756</v>
      </c>
      <c r="K13" s="36" t="s">
        <v>757</v>
      </c>
      <c r="L13" s="36" t="s">
        <v>758</v>
      </c>
      <c r="M13" s="36" t="s">
        <v>759</v>
      </c>
      <c r="N13" s="36" t="s">
        <v>760</v>
      </c>
    </row>
  </sheetData>
  <mergeCells count="8">
    <mergeCell ref="D4:D7"/>
    <mergeCell ref="D10:D11"/>
    <mergeCell ref="D12:D13"/>
    <mergeCell ref="E4:E7"/>
    <mergeCell ref="F4:F7"/>
    <mergeCell ref="E10:E11"/>
    <mergeCell ref="E12:E13"/>
    <mergeCell ref="F9:F13"/>
  </mergeCells>
  <conditionalFormatting sqref="G4:G13">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19783-78BD-4921-AE32-FA10BDECE2D7}">
  <sheetPr>
    <tabColor rgb="FFFF0000"/>
  </sheetPr>
  <dimension ref="B2:N32"/>
  <sheetViews>
    <sheetView topLeftCell="A12" zoomScale="85" zoomScaleNormal="85" workbookViewId="0">
      <selection activeCell="B2" sqref="B2:N32"/>
    </sheetView>
  </sheetViews>
  <sheetFormatPr defaultRowHeight="14.45"/>
  <cols>
    <col min="3" max="3" width="19.5703125" customWidth="1"/>
    <col min="4" max="4" width="10.140625" style="1" customWidth="1"/>
    <col min="5" max="5" width="10.140625" customWidth="1"/>
    <col min="6" max="6" width="9.85546875" customWidth="1"/>
    <col min="7" max="7" width="12.85546875" customWidth="1"/>
    <col min="8" max="8" width="34.85546875" customWidth="1"/>
    <col min="9" max="9" width="23.140625" customWidth="1"/>
    <col min="10" max="10" width="25.42578125" customWidth="1"/>
    <col min="11" max="11" width="32.5703125" customWidth="1"/>
    <col min="12" max="12" width="11.28515625" style="1" customWidth="1"/>
    <col min="13" max="13" width="22.140625" customWidth="1"/>
    <col min="14" max="14" width="66.85546875" customWidth="1"/>
  </cols>
  <sheetData>
    <row r="2" spans="2:14" ht="20.100000000000001">
      <c r="B2" s="140" t="s">
        <v>761</v>
      </c>
    </row>
    <row r="4" spans="2:14" ht="29.1">
      <c r="B4" s="46" t="s">
        <v>762</v>
      </c>
      <c r="C4" s="46" t="s">
        <v>763</v>
      </c>
      <c r="D4" s="46" t="s">
        <v>764</v>
      </c>
      <c r="E4" s="46" t="s">
        <v>765</v>
      </c>
      <c r="F4" s="46" t="s">
        <v>766</v>
      </c>
      <c r="G4" s="46" t="s">
        <v>767</v>
      </c>
      <c r="H4" s="130" t="s">
        <v>768</v>
      </c>
      <c r="I4" s="46" t="s">
        <v>769</v>
      </c>
      <c r="J4" s="132" t="s">
        <v>770</v>
      </c>
      <c r="K4" s="132" t="s">
        <v>771</v>
      </c>
      <c r="L4" s="46" t="s">
        <v>772</v>
      </c>
      <c r="M4" s="46" t="s">
        <v>773</v>
      </c>
      <c r="N4" s="46" t="s">
        <v>774</v>
      </c>
    </row>
    <row r="5" spans="2:14" s="1" customFormat="1" ht="51.95" customHeight="1">
      <c r="B5" s="190" t="s">
        <v>775</v>
      </c>
      <c r="C5" s="195" t="s">
        <v>776</v>
      </c>
      <c r="D5" s="70">
        <v>10</v>
      </c>
      <c r="E5" s="170" t="s">
        <v>777</v>
      </c>
      <c r="F5" s="170">
        <v>50</v>
      </c>
      <c r="G5" s="170" t="s">
        <v>778</v>
      </c>
      <c r="H5" s="36" t="s">
        <v>779</v>
      </c>
      <c r="I5" s="188" t="s">
        <v>780</v>
      </c>
      <c r="J5" s="185" t="s">
        <v>781</v>
      </c>
      <c r="K5" s="185" t="s">
        <v>782</v>
      </c>
      <c r="L5" s="131" t="s">
        <v>296</v>
      </c>
      <c r="M5" s="53" t="s">
        <v>783</v>
      </c>
      <c r="N5" s="36" t="s">
        <v>784</v>
      </c>
    </row>
    <row r="6" spans="2:14" s="1" customFormat="1" ht="51.95" customHeight="1">
      <c r="B6" s="191"/>
      <c r="C6" s="196"/>
      <c r="D6" s="70">
        <v>9</v>
      </c>
      <c r="E6" s="172"/>
      <c r="F6" s="172"/>
      <c r="G6" s="172"/>
      <c r="H6" s="36" t="s">
        <v>785</v>
      </c>
      <c r="I6" s="189"/>
      <c r="J6" s="186"/>
      <c r="K6" s="186"/>
      <c r="L6" s="131" t="s">
        <v>296</v>
      </c>
      <c r="M6" s="53" t="s">
        <v>783</v>
      </c>
      <c r="N6" s="36" t="s">
        <v>786</v>
      </c>
    </row>
    <row r="7" spans="2:14" s="1" customFormat="1" ht="51.95" customHeight="1">
      <c r="B7" s="190" t="s">
        <v>787</v>
      </c>
      <c r="C7" s="195" t="s">
        <v>788</v>
      </c>
      <c r="D7" s="70">
        <v>8</v>
      </c>
      <c r="E7" s="170" t="s">
        <v>789</v>
      </c>
      <c r="F7" s="170">
        <v>50</v>
      </c>
      <c r="G7" s="170" t="s">
        <v>790</v>
      </c>
      <c r="H7" s="36" t="s">
        <v>791</v>
      </c>
      <c r="I7" s="188" t="s">
        <v>792</v>
      </c>
      <c r="J7" s="185" t="s">
        <v>793</v>
      </c>
      <c r="K7" s="185" t="s">
        <v>794</v>
      </c>
      <c r="L7" s="131" t="s">
        <v>296</v>
      </c>
      <c r="M7" s="53" t="s">
        <v>783</v>
      </c>
      <c r="N7" s="36" t="s">
        <v>795</v>
      </c>
    </row>
    <row r="8" spans="2:14" s="1" customFormat="1" ht="51.95" customHeight="1">
      <c r="B8" s="193"/>
      <c r="C8" s="196"/>
      <c r="D8" s="70">
        <v>7</v>
      </c>
      <c r="E8" s="172"/>
      <c r="F8" s="172"/>
      <c r="G8" s="172"/>
      <c r="H8" s="36" t="s">
        <v>796</v>
      </c>
      <c r="I8" s="189"/>
      <c r="J8" s="186"/>
      <c r="K8" s="186"/>
      <c r="L8" s="131" t="s">
        <v>296</v>
      </c>
      <c r="M8" s="53" t="s">
        <v>783</v>
      </c>
      <c r="N8" s="36" t="s">
        <v>797</v>
      </c>
    </row>
    <row r="9" spans="2:14" s="1" customFormat="1" ht="51.95" customHeight="1">
      <c r="B9" s="193"/>
      <c r="C9" s="195" t="s">
        <v>798</v>
      </c>
      <c r="D9" s="70">
        <v>6</v>
      </c>
      <c r="E9" s="170" t="s">
        <v>799</v>
      </c>
      <c r="F9" s="170">
        <v>40</v>
      </c>
      <c r="G9" s="170" t="s">
        <v>800</v>
      </c>
      <c r="H9" s="36" t="s">
        <v>801</v>
      </c>
      <c r="I9" s="188" t="s">
        <v>802</v>
      </c>
      <c r="J9" s="185" t="s">
        <v>803</v>
      </c>
      <c r="K9" s="185" t="s">
        <v>804</v>
      </c>
      <c r="L9" s="131" t="s">
        <v>296</v>
      </c>
      <c r="M9" s="53" t="s">
        <v>783</v>
      </c>
      <c r="N9" s="36" t="s">
        <v>805</v>
      </c>
    </row>
    <row r="10" spans="2:14" s="1" customFormat="1" ht="51.95" customHeight="1">
      <c r="B10" s="191"/>
      <c r="C10" s="196"/>
      <c r="D10" s="70">
        <v>5</v>
      </c>
      <c r="E10" s="172"/>
      <c r="F10" s="172"/>
      <c r="G10" s="172"/>
      <c r="H10" s="36" t="s">
        <v>806</v>
      </c>
      <c r="I10" s="189"/>
      <c r="J10" s="186"/>
      <c r="K10" s="186"/>
      <c r="L10" s="131" t="s">
        <v>296</v>
      </c>
      <c r="M10" s="53" t="s">
        <v>783</v>
      </c>
      <c r="N10" s="36" t="s">
        <v>807</v>
      </c>
    </row>
    <row r="11" spans="2:14" s="1" customFormat="1" ht="60.95" customHeight="1">
      <c r="B11" s="192" t="s">
        <v>808</v>
      </c>
      <c r="C11" s="197" t="s">
        <v>809</v>
      </c>
      <c r="D11" s="70">
        <v>4</v>
      </c>
      <c r="E11" s="70" t="s">
        <v>810</v>
      </c>
      <c r="F11" s="70">
        <v>20</v>
      </c>
      <c r="G11" s="174" t="s">
        <v>811</v>
      </c>
      <c r="H11" s="36" t="s">
        <v>812</v>
      </c>
      <c r="I11" s="194" t="s">
        <v>813</v>
      </c>
      <c r="J11" s="184" t="s">
        <v>814</v>
      </c>
      <c r="K11" s="184" t="s">
        <v>815</v>
      </c>
      <c r="L11" s="131" t="s">
        <v>816</v>
      </c>
      <c r="M11" s="53" t="s">
        <v>783</v>
      </c>
      <c r="N11" s="36" t="s">
        <v>817</v>
      </c>
    </row>
    <row r="12" spans="2:14" s="1" customFormat="1" ht="54.6" customHeight="1">
      <c r="B12" s="192"/>
      <c r="C12" s="197"/>
      <c r="D12" s="70">
        <v>3</v>
      </c>
      <c r="E12" s="170" t="s">
        <v>818</v>
      </c>
      <c r="F12" s="170">
        <v>5</v>
      </c>
      <c r="G12" s="174"/>
      <c r="H12" s="36" t="s">
        <v>819</v>
      </c>
      <c r="I12" s="194"/>
      <c r="J12" s="184"/>
      <c r="K12" s="184"/>
      <c r="L12" s="70" t="s">
        <v>330</v>
      </c>
      <c r="M12" s="53" t="s">
        <v>820</v>
      </c>
      <c r="N12" s="36" t="s">
        <v>821</v>
      </c>
    </row>
    <row r="13" spans="2:14" ht="60" customHeight="1">
      <c r="B13" s="192"/>
      <c r="C13" s="197"/>
      <c r="D13" s="70">
        <v>2</v>
      </c>
      <c r="E13" s="172"/>
      <c r="F13" s="172"/>
      <c r="G13" s="174"/>
      <c r="H13" s="36" t="s">
        <v>822</v>
      </c>
      <c r="I13" s="194"/>
      <c r="J13" s="184"/>
      <c r="K13" s="184"/>
      <c r="L13" s="70" t="s">
        <v>330</v>
      </c>
      <c r="M13" s="53" t="s">
        <v>820</v>
      </c>
      <c r="N13" s="36" t="s">
        <v>823</v>
      </c>
    </row>
    <row r="14" spans="2:14" ht="65.099999999999994" customHeight="1">
      <c r="B14" s="192"/>
      <c r="C14" s="100" t="s">
        <v>824</v>
      </c>
      <c r="D14" s="70">
        <v>1</v>
      </c>
      <c r="E14" s="35" t="s">
        <v>825</v>
      </c>
      <c r="F14" s="35">
        <v>1</v>
      </c>
      <c r="G14" s="174"/>
      <c r="H14" s="36" t="s">
        <v>826</v>
      </c>
      <c r="I14" s="36" t="s">
        <v>827</v>
      </c>
      <c r="J14" s="35" t="s">
        <v>828</v>
      </c>
      <c r="K14" s="36" t="s">
        <v>829</v>
      </c>
      <c r="L14" s="70" t="s">
        <v>830</v>
      </c>
      <c r="M14" s="53" t="s">
        <v>831</v>
      </c>
      <c r="N14" s="36" t="s">
        <v>832</v>
      </c>
    </row>
    <row r="16" spans="2:14" ht="21.6" customHeight="1">
      <c r="B16" s="133" t="s">
        <v>833</v>
      </c>
    </row>
    <row r="17" spans="2:10" ht="21.6" customHeight="1">
      <c r="B17" s="136" t="s">
        <v>834</v>
      </c>
    </row>
    <row r="18" spans="2:10" s="2" customFormat="1" ht="21.6" customHeight="1">
      <c r="B18" s="138" t="s">
        <v>835</v>
      </c>
      <c r="C18" s="134"/>
      <c r="D18" s="134"/>
      <c r="E18" s="134"/>
      <c r="F18" s="134"/>
      <c r="G18" s="134"/>
      <c r="H18" s="134"/>
      <c r="I18" s="134"/>
      <c r="J18" s="134"/>
    </row>
    <row r="19" spans="2:10" s="2" customFormat="1" ht="21.6" customHeight="1">
      <c r="B19" s="138" t="s">
        <v>836</v>
      </c>
      <c r="C19" s="134"/>
      <c r="D19" s="134"/>
      <c r="E19" s="134"/>
      <c r="F19" s="134"/>
      <c r="G19" s="134"/>
      <c r="H19" s="134"/>
      <c r="I19" s="134"/>
      <c r="J19" s="134"/>
    </row>
    <row r="20" spans="2:10" s="2" customFormat="1" ht="21.6" customHeight="1">
      <c r="B20" s="138" t="s">
        <v>837</v>
      </c>
      <c r="C20" s="134"/>
      <c r="D20" s="134"/>
      <c r="E20" s="134"/>
      <c r="F20" s="134"/>
      <c r="G20" s="134"/>
      <c r="H20" s="134"/>
      <c r="I20" s="134"/>
      <c r="J20" s="134"/>
    </row>
    <row r="21" spans="2:10" s="2" customFormat="1" ht="21.6" customHeight="1">
      <c r="B21" s="138" t="s">
        <v>838</v>
      </c>
      <c r="C21" s="134"/>
      <c r="D21" s="134"/>
      <c r="E21" s="134"/>
      <c r="F21" s="134"/>
      <c r="G21" s="134"/>
      <c r="H21" s="134"/>
      <c r="I21" s="134"/>
      <c r="J21" s="134"/>
    </row>
    <row r="22" spans="2:10" s="2" customFormat="1" ht="21.6" customHeight="1">
      <c r="B22" s="138" t="s">
        <v>839</v>
      </c>
      <c r="C22" s="134"/>
      <c r="D22" s="134"/>
      <c r="E22" s="134"/>
      <c r="F22" s="134"/>
      <c r="G22" s="134"/>
      <c r="H22" s="134"/>
      <c r="I22" s="134"/>
      <c r="J22" s="134"/>
    </row>
    <row r="23" spans="2:10" s="2" customFormat="1" ht="21.6" customHeight="1">
      <c r="B23" s="133" t="s">
        <v>840</v>
      </c>
      <c r="C23" s="134"/>
      <c r="D23" s="134"/>
      <c r="E23" s="134"/>
      <c r="F23" s="134"/>
      <c r="G23" s="134"/>
      <c r="H23" s="134"/>
      <c r="I23" s="134"/>
      <c r="J23" s="134"/>
    </row>
    <row r="24" spans="2:10" s="2" customFormat="1" ht="21.6" customHeight="1">
      <c r="B24" s="136" t="s">
        <v>841</v>
      </c>
      <c r="C24" s="134"/>
      <c r="D24" s="134"/>
      <c r="E24" s="134"/>
      <c r="F24" s="134"/>
      <c r="G24" s="134"/>
      <c r="H24" s="134"/>
      <c r="I24" s="134"/>
      <c r="J24" s="134"/>
    </row>
    <row r="25" spans="2:10" s="2" customFormat="1" ht="21.6" customHeight="1">
      <c r="B25" s="138" t="s">
        <v>842</v>
      </c>
      <c r="C25" s="135"/>
      <c r="D25" s="135"/>
      <c r="E25" s="135"/>
      <c r="F25" s="135"/>
      <c r="G25" s="135"/>
      <c r="H25" s="135"/>
      <c r="I25" s="135"/>
      <c r="J25" s="135"/>
    </row>
    <row r="26" spans="2:10" s="2" customFormat="1" ht="21.6" customHeight="1">
      <c r="B26" s="138" t="s">
        <v>843</v>
      </c>
      <c r="C26" s="135"/>
      <c r="D26" s="135"/>
      <c r="E26" s="135"/>
      <c r="F26" s="135"/>
      <c r="G26" s="135"/>
      <c r="H26" s="135"/>
      <c r="I26" s="135"/>
      <c r="J26" s="135"/>
    </row>
    <row r="27" spans="2:10" ht="21.6" customHeight="1">
      <c r="B27" s="138" t="s">
        <v>844</v>
      </c>
      <c r="C27" s="137"/>
      <c r="D27"/>
    </row>
    <row r="28" spans="2:10" ht="21.6" customHeight="1">
      <c r="B28" s="138" t="s">
        <v>845</v>
      </c>
      <c r="C28" s="139"/>
    </row>
    <row r="29" spans="2:10" ht="21.6" customHeight="1">
      <c r="B29" s="138" t="s">
        <v>846</v>
      </c>
      <c r="C29" s="139"/>
    </row>
    <row r="30" spans="2:10" ht="21.6" customHeight="1">
      <c r="B30" s="138" t="s">
        <v>847</v>
      </c>
      <c r="C30" s="139"/>
    </row>
    <row r="31" spans="2:10" ht="21.6" customHeight="1">
      <c r="B31" s="138" t="s">
        <v>848</v>
      </c>
      <c r="C31" s="139"/>
    </row>
    <row r="32" spans="2:10" ht="21.6" customHeight="1">
      <c r="B32" s="138" t="s">
        <v>849</v>
      </c>
      <c r="C32" s="139"/>
    </row>
  </sheetData>
  <mergeCells count="31">
    <mergeCell ref="I9:I10"/>
    <mergeCell ref="I11:I13"/>
    <mergeCell ref="F9:F10"/>
    <mergeCell ref="E12:E13"/>
    <mergeCell ref="F12:F13"/>
    <mergeCell ref="K5:K6"/>
    <mergeCell ref="K7:K8"/>
    <mergeCell ref="J9:J10"/>
    <mergeCell ref="J11:J13"/>
    <mergeCell ref="K9:K10"/>
    <mergeCell ref="K11:K13"/>
    <mergeCell ref="B11:B14"/>
    <mergeCell ref="G11:G14"/>
    <mergeCell ref="G9:G10"/>
    <mergeCell ref="E9:E10"/>
    <mergeCell ref="B7:B10"/>
    <mergeCell ref="G7:G8"/>
    <mergeCell ref="F7:F8"/>
    <mergeCell ref="E7:E8"/>
    <mergeCell ref="C7:C8"/>
    <mergeCell ref="C9:C10"/>
    <mergeCell ref="C11:C13"/>
    <mergeCell ref="I7:I8"/>
    <mergeCell ref="J7:J8"/>
    <mergeCell ref="G5:G6"/>
    <mergeCell ref="B5:B6"/>
    <mergeCell ref="I5:I6"/>
    <mergeCell ref="J5:J6"/>
    <mergeCell ref="E5:E6"/>
    <mergeCell ref="F5:F6"/>
    <mergeCell ref="C5:C6"/>
  </mergeCells>
  <phoneticPr fontId="2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EC401-D78A-4C12-89E0-1D51560DBC8D}">
  <dimension ref="A1"/>
  <sheetViews>
    <sheetView tabSelected="1" topLeftCell="A37" workbookViewId="0">
      <selection activeCell="J67" sqref="J67"/>
    </sheetView>
  </sheetViews>
  <sheetFormatPr defaultRowHeight="14.4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G47"/>
  <sheetViews>
    <sheetView topLeftCell="E1" zoomScale="85" zoomScaleNormal="85" workbookViewId="0">
      <selection activeCell="I55" sqref="I55"/>
    </sheetView>
  </sheetViews>
  <sheetFormatPr defaultRowHeight="14.45"/>
  <cols>
    <col min="1" max="1" width="3.140625" customWidth="1"/>
    <col min="2" max="2" width="25.42578125" customWidth="1"/>
    <col min="3" max="5" width="10.42578125" style="1" bestFit="1" customWidth="1"/>
    <col min="6" max="6" width="31.5703125" customWidth="1"/>
    <col min="7" max="7" width="51.85546875" bestFit="1" customWidth="1"/>
  </cols>
  <sheetData>
    <row r="1" spans="2:7" ht="15.75" customHeight="1">
      <c r="B1" s="48" t="s">
        <v>6</v>
      </c>
      <c r="C1" s="44" t="s">
        <v>850</v>
      </c>
      <c r="D1" s="44" t="s">
        <v>2</v>
      </c>
      <c r="E1" s="44" t="s">
        <v>3</v>
      </c>
      <c r="F1" s="46" t="s">
        <v>851</v>
      </c>
      <c r="G1" s="46" t="s">
        <v>852</v>
      </c>
    </row>
    <row r="2" spans="2:7" ht="15.75" customHeight="1">
      <c r="B2" s="47" t="s">
        <v>32</v>
      </c>
      <c r="C2" s="45">
        <f>AVERAGE('PQ Audit Checklist'!G7,'PQ Audit Checklist'!G13,'PQ Audit Checklist'!G19,'PQ Audit Checklist'!G25,'PQ Audit Checklist'!G31,'PQ Audit Checklist'!G37,'PQ Audit Checklist'!G43,'PQ Audit Checklist'!G49,'PQ Audit Checklist'!G55,'PQ Audit Checklist'!G61,'PQ Audit Checklist'!G67,'PQ Audit Checklist'!G73:G79,'PQ Audit Checklist'!G73,'PQ Audit Checklist'!G85,'PQ Audit Checklist'!G97)</f>
        <v>6.7142857142857144</v>
      </c>
      <c r="D2" s="45">
        <f>AVERAGE('PQ Audit Checklist'!H7,'PQ Audit Checklist'!H13,'PQ Audit Checklist'!H19,'PQ Audit Checklist'!H25,'PQ Audit Checklist'!H31,'PQ Audit Checklist'!H37,'PQ Audit Checklist'!H43,'PQ Audit Checklist'!H49,'PQ Audit Checklist'!H55,'PQ Audit Checklist'!H61,'PQ Audit Checklist'!H67,'PQ Audit Checklist'!H73:H79,'PQ Audit Checklist'!H73,'PQ Audit Checklist'!H85,'PQ Audit Checklist'!H97)</f>
        <v>5.7142857142857144</v>
      </c>
      <c r="E2" s="45">
        <f>AVERAGE('PQ Audit Checklist'!I7,'PQ Audit Checklist'!I13,'PQ Audit Checklist'!I19,'PQ Audit Checklist'!I25,'PQ Audit Checklist'!I31,'PQ Audit Checklist'!I37,'PQ Audit Checklist'!I43,'PQ Audit Checklist'!I49,'PQ Audit Checklist'!I55,'PQ Audit Checklist'!I61,'PQ Audit Checklist'!I67,'PQ Audit Checklist'!I73:I79,'PQ Audit Checklist'!I73,'PQ Audit Checklist'!I85,'PQ Audit Checklist'!I97)</f>
        <v>6.9047619047619051</v>
      </c>
      <c r="F2" s="36" t="s">
        <v>853</v>
      </c>
      <c r="G2" s="36" t="s">
        <v>854</v>
      </c>
    </row>
    <row r="3" spans="2:7" ht="15.75" customHeight="1">
      <c r="B3" s="47" t="s">
        <v>24</v>
      </c>
      <c r="C3" s="45">
        <f>AVERAGEA('PQ Audit Checklist'!G5,'PQ Audit Checklist'!G11,'PQ Audit Checklist'!G17,'PQ Audit Checklist'!G23,'PQ Audit Checklist'!G29,'PQ Audit Checklist'!G35,'PQ Audit Checklist'!G41,'PQ Audit Checklist'!G47,'PQ Audit Checklist'!G53,'PQ Audit Checklist'!G59,'PQ Audit Checklist'!G65,'PQ Audit Checklist'!G71,'PQ Audit Checklist'!G77,'PQ Audit Checklist'!G83,'PQ Audit Checklist'!G95)</f>
        <v>6.666666666666667</v>
      </c>
      <c r="D3" s="45">
        <f>AVERAGEA('PQ Audit Checklist'!H5,'PQ Audit Checklist'!H11,'PQ Audit Checklist'!H17,'PQ Audit Checklist'!H23,'PQ Audit Checklist'!H29,'PQ Audit Checklist'!H35,'PQ Audit Checklist'!H41,'PQ Audit Checklist'!H47,'PQ Audit Checklist'!H53,'PQ Audit Checklist'!H59,'PQ Audit Checklist'!H65,'PQ Audit Checklist'!H71,'PQ Audit Checklist'!H77,'PQ Audit Checklist'!H83,'PQ Audit Checklist'!H95)</f>
        <v>5.9333333333333336</v>
      </c>
      <c r="E3" s="45">
        <f>AVERAGEA('PQ Audit Checklist'!I5,'PQ Audit Checklist'!I11,'PQ Audit Checklist'!I17,'PQ Audit Checklist'!I23,'PQ Audit Checklist'!I29,'PQ Audit Checklist'!I35,'PQ Audit Checklist'!I41,'PQ Audit Checklist'!I47,'PQ Audit Checklist'!I53,'PQ Audit Checklist'!I59,'PQ Audit Checklist'!I65,'PQ Audit Checklist'!I71,'PQ Audit Checklist'!I77,'PQ Audit Checklist'!I83,'PQ Audit Checklist'!I95)</f>
        <v>7</v>
      </c>
      <c r="F3" s="36" t="s">
        <v>853</v>
      </c>
      <c r="G3" s="36" t="s">
        <v>855</v>
      </c>
    </row>
    <row r="4" spans="2:7" ht="15.75" customHeight="1">
      <c r="B4" s="47" t="s">
        <v>20</v>
      </c>
      <c r="C4" s="45">
        <f>AVERAGE('PQ Audit Checklist'!G4,'PQ Audit Checklist'!G10,'PQ Audit Checklist'!G16,'PQ Audit Checklist'!G22,'PQ Audit Checklist'!G28,'PQ Audit Checklist'!G34,'PQ Audit Checklist'!G40,'PQ Audit Checklist'!G46,'PQ Audit Checklist'!G52,'PQ Audit Checklist'!G58,'PQ Audit Checklist'!G64,'PQ Audit Checklist'!G70,'PQ Audit Checklist'!G76,'PQ Audit Checklist'!G82,'PQ Audit Checklist'!G94)</f>
        <v>6.6</v>
      </c>
      <c r="D4" s="45">
        <f>AVERAGE('PQ Audit Checklist'!H4,'PQ Audit Checklist'!H10,'PQ Audit Checklist'!H16,'PQ Audit Checklist'!H22,'PQ Audit Checklist'!H28,'PQ Audit Checklist'!H34,'PQ Audit Checklist'!H40,'PQ Audit Checklist'!H46,'PQ Audit Checklist'!H52,'PQ Audit Checklist'!H58,'PQ Audit Checklist'!H64,'PQ Audit Checklist'!H70,'PQ Audit Checklist'!H76,'PQ Audit Checklist'!H82,'PQ Audit Checklist'!H94)</f>
        <v>5.5333333333333332</v>
      </c>
      <c r="E4" s="45">
        <f>AVERAGE('PQ Audit Checklist'!I4,'PQ Audit Checklist'!I10,'PQ Audit Checklist'!I16,'PQ Audit Checklist'!I22,'PQ Audit Checklist'!I28,'PQ Audit Checklist'!I34,'PQ Audit Checklist'!I40,'PQ Audit Checklist'!I46,'PQ Audit Checklist'!I52,'PQ Audit Checklist'!I58,'PQ Audit Checklist'!I64,'PQ Audit Checklist'!I70,'PQ Audit Checklist'!I76,'PQ Audit Checklist'!I82,'PQ Audit Checklist'!I94)</f>
        <v>7.1333333333333337</v>
      </c>
      <c r="F4" s="36" t="s">
        <v>856</v>
      </c>
      <c r="G4" s="36" t="s">
        <v>857</v>
      </c>
    </row>
    <row r="5" spans="2:7" ht="15.75" customHeight="1">
      <c r="B5" s="47" t="s">
        <v>28</v>
      </c>
      <c r="C5" s="45">
        <f>AVERAGE('PQ Audit Checklist'!G6,'PQ Audit Checklist'!G12,'PQ Audit Checklist'!G18,'PQ Audit Checklist'!G24,'PQ Audit Checklist'!G30,'PQ Audit Checklist'!G36,'PQ Audit Checklist'!G42,'PQ Audit Checklist'!G48,'PQ Audit Checklist'!G54,'PQ Audit Checklist'!G60,'PQ Audit Checklist'!G66,'PQ Audit Checklist'!G72,'PQ Audit Checklist'!G78,'PQ Audit Checklist'!G84,'PQ Audit Checklist'!G96)</f>
        <v>6.666666666666667</v>
      </c>
      <c r="D5" s="45">
        <f>AVERAGE('PQ Audit Checklist'!H6,'PQ Audit Checklist'!H12,'PQ Audit Checklist'!H18,'PQ Audit Checklist'!H24,'PQ Audit Checklist'!H30,'PQ Audit Checklist'!H36,'PQ Audit Checklist'!H42,'PQ Audit Checklist'!H48,'PQ Audit Checklist'!H54,'PQ Audit Checklist'!H60,'PQ Audit Checklist'!H66,'PQ Audit Checklist'!H72,'PQ Audit Checklist'!H78,'PQ Audit Checklist'!H84,'PQ Audit Checklist'!H96)</f>
        <v>5.8</v>
      </c>
      <c r="E5" s="45">
        <f>AVERAGE('PQ Audit Checklist'!I6,'PQ Audit Checklist'!I12,'PQ Audit Checklist'!I18,'PQ Audit Checklist'!I24,'PQ Audit Checklist'!I30,'PQ Audit Checklist'!I36,'PQ Audit Checklist'!I42,'PQ Audit Checklist'!I48,'PQ Audit Checklist'!I54,'PQ Audit Checklist'!I60,'PQ Audit Checklist'!I66,'PQ Audit Checklist'!I72,'PQ Audit Checklist'!I78,'PQ Audit Checklist'!I84,'PQ Audit Checklist'!I96)</f>
        <v>6.333333333333333</v>
      </c>
      <c r="F5" s="36" t="s">
        <v>858</v>
      </c>
      <c r="G5" s="36" t="s">
        <v>859</v>
      </c>
    </row>
    <row r="6" spans="2:7" ht="15.75" customHeight="1">
      <c r="B6" s="47" t="s">
        <v>36</v>
      </c>
      <c r="C6" s="45">
        <f>AVERAGE('PQ Audit Checklist'!G8,'PQ Audit Checklist'!G14,'PQ Audit Checklist'!G20,'PQ Audit Checklist'!G26,'PQ Audit Checklist'!G32,'PQ Audit Checklist'!G38,'PQ Audit Checklist'!G44,'PQ Audit Checklist'!G50,'PQ Audit Checklist'!G56,'PQ Audit Checklist'!G62,'PQ Audit Checklist'!G68,'PQ Audit Checklist'!G74,'PQ Audit Checklist'!G80,'PQ Audit Checklist'!G86,'PQ Audit Checklist'!G98)</f>
        <v>6.1333333333333337</v>
      </c>
      <c r="D6" s="45">
        <f>AVERAGE('PQ Audit Checklist'!H8,'PQ Audit Checklist'!H14,'PQ Audit Checklist'!H20,'PQ Audit Checklist'!H26,'PQ Audit Checklist'!H32,'PQ Audit Checklist'!H38,'PQ Audit Checklist'!H44,'PQ Audit Checklist'!H50,'PQ Audit Checklist'!H56,'PQ Audit Checklist'!H62,'PQ Audit Checklist'!H68,'PQ Audit Checklist'!H74,'PQ Audit Checklist'!H80,'PQ Audit Checklist'!H86,'PQ Audit Checklist'!H98)</f>
        <v>5.7333333333333334</v>
      </c>
      <c r="E6" s="45">
        <f>AVERAGE('PQ Audit Checklist'!I8,'PQ Audit Checklist'!I14,'PQ Audit Checklist'!I20,'PQ Audit Checklist'!I26,'PQ Audit Checklist'!I32,'PQ Audit Checklist'!I38,'PQ Audit Checklist'!I44,'PQ Audit Checklist'!I50,'PQ Audit Checklist'!I56,'PQ Audit Checklist'!I62,'PQ Audit Checklist'!I68,'PQ Audit Checklist'!I74,'PQ Audit Checklist'!I80,'PQ Audit Checklist'!I86,'PQ Audit Checklist'!I98)</f>
        <v>6.1333333333333337</v>
      </c>
      <c r="F6" s="36" t="s">
        <v>860</v>
      </c>
      <c r="G6" s="36" t="s">
        <v>861</v>
      </c>
    </row>
    <row r="7" spans="2:7" ht="15.75" customHeight="1">
      <c r="B7" s="47" t="s">
        <v>40</v>
      </c>
      <c r="C7" s="45">
        <f>AVERAGE('PQ Audit Checklist'!G9,'PQ Audit Checklist'!G15,'PQ Audit Checklist'!G21,'PQ Audit Checklist'!G27,'PQ Audit Checklist'!G33,'PQ Audit Checklist'!G39,'PQ Audit Checklist'!G45,'PQ Audit Checklist'!G51,'PQ Audit Checklist'!G57,'PQ Audit Checklist'!G63,'PQ Audit Checklist'!G69,'PQ Audit Checklist'!G75,'PQ Audit Checklist'!G81,'PQ Audit Checklist'!G87,'PQ Audit Checklist'!G99)</f>
        <v>6.7333333333333334</v>
      </c>
      <c r="D7" s="45">
        <f>AVERAGE('PQ Audit Checklist'!H9,'PQ Audit Checklist'!H15,'PQ Audit Checklist'!H21,'PQ Audit Checklist'!H27,'PQ Audit Checklist'!H33,'PQ Audit Checklist'!H39,'PQ Audit Checklist'!H45,'PQ Audit Checklist'!H51,'PQ Audit Checklist'!H57,'PQ Audit Checklist'!H63,'PQ Audit Checklist'!H69,'PQ Audit Checklist'!H75,'PQ Audit Checklist'!H81,'PQ Audit Checklist'!H87,'PQ Audit Checklist'!H99)</f>
        <v>6</v>
      </c>
      <c r="E7" s="45">
        <f>AVERAGE('PQ Audit Checklist'!I9,'PQ Audit Checklist'!I15,'PQ Audit Checklist'!I21,'PQ Audit Checklist'!I27,'PQ Audit Checklist'!I33,'PQ Audit Checklist'!I39,'PQ Audit Checklist'!I45,'PQ Audit Checklist'!I51,'PQ Audit Checklist'!I57,'PQ Audit Checklist'!I63,'PQ Audit Checklist'!I69,'PQ Audit Checklist'!I75,'PQ Audit Checklist'!I81,'PQ Audit Checklist'!I87,'PQ Audit Checklist'!I99)</f>
        <v>6.9333333333333336</v>
      </c>
      <c r="F7" s="36" t="s">
        <v>853</v>
      </c>
      <c r="G7" s="36" t="s">
        <v>862</v>
      </c>
    </row>
    <row r="8" spans="2:7" ht="15.75" customHeight="1">
      <c r="B8" s="48" t="s">
        <v>863</v>
      </c>
      <c r="C8" s="50">
        <f>AVERAGE(C2:C7)</f>
        <v>6.5857142857142863</v>
      </c>
      <c r="D8" s="50">
        <f>AVERAGE(D2:D7)</f>
        <v>5.7857142857142874</v>
      </c>
      <c r="E8" s="50">
        <f>AVERAGE(E2:E7)</f>
        <v>6.7396825396825406</v>
      </c>
      <c r="F8" s="49" t="s">
        <v>853</v>
      </c>
      <c r="G8" s="49" t="s">
        <v>864</v>
      </c>
    </row>
    <row r="9" spans="2:7" ht="15.75" customHeight="1"/>
    <row r="10" spans="2:7" ht="15.75" customHeight="1"/>
    <row r="11" spans="2:7" ht="15.75" customHeight="1">
      <c r="B11" s="48" t="s">
        <v>18</v>
      </c>
      <c r="C11" s="44" t="s">
        <v>850</v>
      </c>
      <c r="D11" s="44" t="s">
        <v>2</v>
      </c>
      <c r="E11" s="44" t="s">
        <v>3</v>
      </c>
      <c r="F11" s="46" t="s">
        <v>851</v>
      </c>
      <c r="G11" s="46" t="s">
        <v>852</v>
      </c>
    </row>
    <row r="12" spans="2:7" ht="15.75" customHeight="1">
      <c r="B12" s="47" t="s">
        <v>32</v>
      </c>
      <c r="C12" s="45">
        <f>AVERAGE('PQ Audit Checklist'!G7,'PQ Audit Checklist'!G13,'PQ Audit Checklist'!G19,'PQ Audit Checklist'!G25,'PQ Audit Checklist'!G31,'PQ Audit Checklist'!G37)</f>
        <v>5.833333333333333</v>
      </c>
      <c r="D12" s="45">
        <f>AVERAGE('PQ Audit Checklist'!H7,'PQ Audit Checklist'!H13,'PQ Audit Checklist'!H19,'PQ Audit Checklist'!H25,'PQ Audit Checklist'!H31,'PQ Audit Checklist'!H37)</f>
        <v>6</v>
      </c>
      <c r="E12" s="45">
        <f>AVERAGE('PQ Audit Checklist'!I7,'PQ Audit Checklist'!I13,'PQ Audit Checklist'!I19,'PQ Audit Checklist'!I25,'PQ Audit Checklist'!I31,'PQ Audit Checklist'!I37)</f>
        <v>6.166666666666667</v>
      </c>
      <c r="F12" s="36" t="s">
        <v>853</v>
      </c>
      <c r="G12" s="36" t="s">
        <v>865</v>
      </c>
    </row>
    <row r="13" spans="2:7" ht="15.75" customHeight="1">
      <c r="B13" s="47" t="s">
        <v>24</v>
      </c>
      <c r="C13" s="45">
        <f>AVERAGE('PQ Audit Checklist'!G5,'PQ Audit Checklist'!G11,'PQ Audit Checklist'!G17,'PQ Audit Checklist'!G23,'PQ Audit Checklist'!G29,'PQ Audit Checklist'!G35)</f>
        <v>6</v>
      </c>
      <c r="D13" s="45">
        <f>AVERAGE('PQ Audit Checklist'!H5,'PQ Audit Checklist'!H11,'PQ Audit Checklist'!H17,'PQ Audit Checklist'!H23,'PQ Audit Checklist'!H29,'PQ Audit Checklist'!H35)</f>
        <v>5.833333333333333</v>
      </c>
      <c r="E13" s="45">
        <f>AVERAGE('PQ Audit Checklist'!I5,'PQ Audit Checklist'!I11,'PQ Audit Checklist'!I17,'PQ Audit Checklist'!I23,'PQ Audit Checklist'!I29,'PQ Audit Checklist'!I35)</f>
        <v>6.5</v>
      </c>
      <c r="F13" s="36" t="s">
        <v>853</v>
      </c>
      <c r="G13" s="36" t="s">
        <v>866</v>
      </c>
    </row>
    <row r="14" spans="2:7" ht="15.75" customHeight="1">
      <c r="B14" s="47" t="s">
        <v>20</v>
      </c>
      <c r="C14" s="45">
        <f>AVERAGE('PQ Audit Checklist'!G10,'PQ Audit Checklist'!G16,'PQ Audit Checklist'!G22,'PQ Audit Checklist'!G28,'PQ Audit Checklist'!G34,'PQ Audit Checklist'!G4)</f>
        <v>5.833333333333333</v>
      </c>
      <c r="D14" s="45">
        <f>AVERAGE('PQ Audit Checklist'!H10,'PQ Audit Checklist'!H16,'PQ Audit Checklist'!H22,'PQ Audit Checklist'!H28,'PQ Audit Checklist'!H34,'PQ Audit Checklist'!H4)</f>
        <v>5.166666666666667</v>
      </c>
      <c r="E14" s="45">
        <f>AVERAGE('PQ Audit Checklist'!I10,'PQ Audit Checklist'!I16,'PQ Audit Checklist'!I22,'PQ Audit Checklist'!I28,'PQ Audit Checklist'!I34,'PQ Audit Checklist'!I4)</f>
        <v>5.833333333333333</v>
      </c>
      <c r="F14" s="36" t="s">
        <v>860</v>
      </c>
      <c r="G14" s="36" t="s">
        <v>867</v>
      </c>
    </row>
    <row r="15" spans="2:7" ht="15.75" customHeight="1">
      <c r="B15" s="47" t="s">
        <v>28</v>
      </c>
      <c r="C15" s="45">
        <f>AVERAGE('PQ Audit Checklist'!G6,'PQ Audit Checklist'!G12,'PQ Audit Checklist'!G18,'PQ Audit Checklist'!G24,'PQ Audit Checklist'!G30,'PQ Audit Checklist'!G36)</f>
        <v>6</v>
      </c>
      <c r="D15" s="45">
        <f>AVERAGE('PQ Audit Checklist'!H6,'PQ Audit Checklist'!H12,'PQ Audit Checklist'!H18,'PQ Audit Checklist'!H24,'PQ Audit Checklist'!H30,'PQ Audit Checklist'!H36)</f>
        <v>5.5</v>
      </c>
      <c r="E15" s="45">
        <f>AVERAGE('PQ Audit Checklist'!I6,'PQ Audit Checklist'!I12,'PQ Audit Checklist'!I18,'PQ Audit Checklist'!I24,'PQ Audit Checklist'!I30,'PQ Audit Checklist'!I36)</f>
        <v>5.666666666666667</v>
      </c>
      <c r="F15" s="36" t="s">
        <v>858</v>
      </c>
      <c r="G15" s="36" t="s">
        <v>868</v>
      </c>
    </row>
    <row r="16" spans="2:7" ht="15.75" customHeight="1">
      <c r="B16" s="47" t="s">
        <v>36</v>
      </c>
      <c r="C16" s="45">
        <f>AVERAGE('PQ Audit Checklist'!G8,'PQ Audit Checklist'!G14,'PQ Audit Checklist'!G20,'PQ Audit Checklist'!G26,'PQ Audit Checklist'!G32,'PQ Audit Checklist'!G38)</f>
        <v>6</v>
      </c>
      <c r="D16" s="45">
        <f>AVERAGE('PQ Audit Checklist'!H8,'PQ Audit Checklist'!H14,'PQ Audit Checklist'!H20,'PQ Audit Checklist'!H26,'PQ Audit Checklist'!H32,'PQ Audit Checklist'!H38)</f>
        <v>5.666666666666667</v>
      </c>
      <c r="E16" s="45">
        <f>AVERAGE('PQ Audit Checklist'!I8,'PQ Audit Checklist'!I14,'PQ Audit Checklist'!I20,'PQ Audit Checklist'!I26,'PQ Audit Checklist'!I32,'PQ Audit Checklist'!I38)</f>
        <v>5.833333333333333</v>
      </c>
      <c r="F16" s="36" t="s">
        <v>858</v>
      </c>
      <c r="G16" s="36" t="s">
        <v>869</v>
      </c>
    </row>
    <row r="17" spans="2:7" ht="15.75" customHeight="1">
      <c r="B17" s="47" t="s">
        <v>40</v>
      </c>
      <c r="C17" s="45">
        <f>AVERAGE('PQ Audit Checklist'!G9,'PQ Audit Checklist'!G15,'PQ Audit Checklist'!G21,'PQ Audit Checklist'!G27,'PQ Audit Checklist'!G33,'PQ Audit Checklist'!G39)</f>
        <v>6</v>
      </c>
      <c r="D17" s="45">
        <f>AVERAGE('PQ Audit Checklist'!H9,'PQ Audit Checklist'!H15,'PQ Audit Checklist'!H21,'PQ Audit Checklist'!H27,'PQ Audit Checklist'!H33,'PQ Audit Checklist'!H39)</f>
        <v>6</v>
      </c>
      <c r="E17" s="45">
        <f>AVERAGE('PQ Audit Checklist'!I9,'PQ Audit Checklist'!I15,'PQ Audit Checklist'!I21,'PQ Audit Checklist'!I27,'PQ Audit Checklist'!I33,'PQ Audit Checklist'!I39)</f>
        <v>6.333333333333333</v>
      </c>
      <c r="F17" s="36" t="s">
        <v>853</v>
      </c>
      <c r="G17" s="36" t="s">
        <v>870</v>
      </c>
    </row>
    <row r="18" spans="2:7" ht="15.75" customHeight="1">
      <c r="B18" s="48" t="s">
        <v>863</v>
      </c>
      <c r="C18" s="50">
        <f>AVERAGE(C12:C17)</f>
        <v>5.9444444444444438</v>
      </c>
      <c r="D18" s="50">
        <f>AVERAGE(D12:D17)</f>
        <v>5.6944444444444455</v>
      </c>
      <c r="E18" s="50">
        <f>AVERAGE(E12:E17)</f>
        <v>6.0555555555555562</v>
      </c>
      <c r="F18" s="49" t="s">
        <v>853</v>
      </c>
      <c r="G18" s="49" t="s">
        <v>864</v>
      </c>
    </row>
    <row r="19" spans="2:7" ht="15.75" customHeight="1"/>
    <row r="20" spans="2:7" ht="15.75" customHeight="1"/>
    <row r="21" spans="2:7" ht="15.75" customHeight="1">
      <c r="B21" s="48" t="s">
        <v>130</v>
      </c>
      <c r="C21" s="44" t="s">
        <v>850</v>
      </c>
      <c r="D21" s="44" t="s">
        <v>2</v>
      </c>
      <c r="E21" s="44" t="s">
        <v>3</v>
      </c>
      <c r="F21" s="49" t="s">
        <v>851</v>
      </c>
      <c r="G21" s="49" t="s">
        <v>852</v>
      </c>
    </row>
    <row r="22" spans="2:7" ht="15.75" customHeight="1">
      <c r="B22" s="47" t="s">
        <v>32</v>
      </c>
      <c r="C22" s="45">
        <f>AVERAGE('PQ Audit Checklist'!G43,'PQ Audit Checklist'!G49,'PQ Audit Checklist'!G55,'PQ Audit Checklist'!G61,'PQ Audit Checklist'!G67,'PQ Audit Checklist'!G73,'PQ Audit Checklist'!G79,'PQ Audit Checklist'!G85,'PQ Audit Checklist'!G97)</f>
        <v>7</v>
      </c>
      <c r="D22" s="45">
        <f>AVERAGE('PQ Audit Checklist'!H43,'PQ Audit Checklist'!H49,'PQ Audit Checklist'!H55,'PQ Audit Checklist'!H61,'PQ Audit Checklist'!H67,'PQ Audit Checklist'!H73,'PQ Audit Checklist'!H79,'PQ Audit Checklist'!H85,'PQ Audit Checklist'!H97)</f>
        <v>5.333333333333333</v>
      </c>
      <c r="E22" s="45">
        <f>AVERAGE('PQ Audit Checklist'!I43,'PQ Audit Checklist'!I49,'PQ Audit Checklist'!I55,'PQ Audit Checklist'!I61,'PQ Audit Checklist'!I67,'PQ Audit Checklist'!I73,'PQ Audit Checklist'!I79,'PQ Audit Checklist'!I85,'PQ Audit Checklist'!I97)</f>
        <v>7.333333333333333</v>
      </c>
      <c r="F22" s="36" t="s">
        <v>853</v>
      </c>
      <c r="G22" s="36" t="s">
        <v>871</v>
      </c>
    </row>
    <row r="23" spans="2:7" ht="15.75" customHeight="1">
      <c r="B23" s="47" t="s">
        <v>24</v>
      </c>
      <c r="C23" s="45">
        <f>AVERAGE('PQ Audit Checklist'!G41,'PQ Audit Checklist'!G47,'PQ Audit Checklist'!G53,'PQ Audit Checklist'!G59,'PQ Audit Checklist'!G65,'PQ Audit Checklist'!G71,'PQ Audit Checklist'!G77,'PQ Audit Checklist'!G83,'PQ Audit Checklist'!G95)</f>
        <v>7.1111111111111107</v>
      </c>
      <c r="D23" s="45">
        <f>AVERAGE('PQ Audit Checklist'!H41,'PQ Audit Checklist'!H47,'PQ Audit Checklist'!H53,'PQ Audit Checklist'!H59,'PQ Audit Checklist'!H65,'PQ Audit Checklist'!H71,'PQ Audit Checklist'!H77,'PQ Audit Checklist'!H83,'PQ Audit Checklist'!H95)</f>
        <v>6</v>
      </c>
      <c r="E23" s="45">
        <f>AVERAGE('PQ Audit Checklist'!I41,'PQ Audit Checklist'!I47,'PQ Audit Checklist'!I53,'PQ Audit Checklist'!I59,'PQ Audit Checklist'!I65,'PQ Audit Checklist'!I71,'PQ Audit Checklist'!I77,'PQ Audit Checklist'!I83,'PQ Audit Checklist'!I95)</f>
        <v>7.333333333333333</v>
      </c>
      <c r="F23" s="36" t="s">
        <v>853</v>
      </c>
      <c r="G23" s="36" t="s">
        <v>872</v>
      </c>
    </row>
    <row r="24" spans="2:7" ht="15.75" customHeight="1">
      <c r="B24" s="47" t="s">
        <v>20</v>
      </c>
      <c r="C24" s="45">
        <f>AVERAGE('PQ Audit Checklist'!G40,'PQ Audit Checklist'!G46,'PQ Audit Checklist'!G52,'PQ Audit Checklist'!G58,'PQ Audit Checklist'!G64,'PQ Audit Checklist'!G70,'PQ Audit Checklist'!G76,'PQ Audit Checklist'!G82,'PQ Audit Checklist'!G94)</f>
        <v>7.1111111111111107</v>
      </c>
      <c r="D24" s="45">
        <f>AVERAGE('PQ Audit Checklist'!H40,'PQ Audit Checklist'!H46,'PQ Audit Checklist'!H52,'PQ Audit Checklist'!H58,'PQ Audit Checklist'!H64,'PQ Audit Checklist'!H70,'PQ Audit Checklist'!H76,'PQ Audit Checklist'!H82,'PQ Audit Checklist'!H94)</f>
        <v>5.7777777777777777</v>
      </c>
      <c r="E24" s="45">
        <f>AVERAGE('PQ Audit Checklist'!I40,'PQ Audit Checklist'!I46,'PQ Audit Checklist'!I52,'PQ Audit Checklist'!I58,'PQ Audit Checklist'!I64,'PQ Audit Checklist'!I70,'PQ Audit Checklist'!I76,'PQ Audit Checklist'!I82,'PQ Audit Checklist'!I94)</f>
        <v>8</v>
      </c>
      <c r="F24" s="36" t="s">
        <v>856</v>
      </c>
      <c r="G24" s="36" t="s">
        <v>873</v>
      </c>
    </row>
    <row r="25" spans="2:7" ht="15.75" customHeight="1">
      <c r="B25" s="47" t="s">
        <v>28</v>
      </c>
      <c r="C25" s="45">
        <f>AVERAGE('PQ Audit Checklist'!G42,'PQ Audit Checklist'!G48,'PQ Audit Checklist'!G54,'PQ Audit Checklist'!G60,'PQ Audit Checklist'!G66,'PQ Audit Checklist'!G72,'PQ Audit Checklist'!G78,'PQ Audit Checklist'!G84,'PQ Audit Checklist'!G96)</f>
        <v>7.1111111111111107</v>
      </c>
      <c r="D25" s="45">
        <f>AVERAGE('PQ Audit Checklist'!H42,'PQ Audit Checklist'!H48,'PQ Audit Checklist'!H54,'PQ Audit Checklist'!H60,'PQ Audit Checklist'!H66,'PQ Audit Checklist'!H72,'PQ Audit Checklist'!H78,'PQ Audit Checklist'!H84,'PQ Audit Checklist'!H96)</f>
        <v>6</v>
      </c>
      <c r="E25" s="45">
        <f>AVERAGE('PQ Audit Checklist'!I42,'PQ Audit Checklist'!I48,'PQ Audit Checklist'!I54,'PQ Audit Checklist'!I60,'PQ Audit Checklist'!I66,'PQ Audit Checklist'!I72,'PQ Audit Checklist'!I78,'PQ Audit Checklist'!I84,'PQ Audit Checklist'!I96)</f>
        <v>6.7777777777777777</v>
      </c>
      <c r="F25" s="36" t="s">
        <v>858</v>
      </c>
      <c r="G25" s="36" t="s">
        <v>874</v>
      </c>
    </row>
    <row r="26" spans="2:7" ht="15.75" customHeight="1">
      <c r="B26" s="47" t="s">
        <v>36</v>
      </c>
      <c r="C26" s="45">
        <f>AVERAGE('PQ Audit Checklist'!G44,'PQ Audit Checklist'!G50,'PQ Audit Checklist'!G56,'PQ Audit Checklist'!G62,'PQ Audit Checklist'!G68,'PQ Audit Checklist'!G74,'PQ Audit Checklist'!G80,'PQ Audit Checklist'!G86,'PQ Audit Checklist'!G98)</f>
        <v>6.2222222222222223</v>
      </c>
      <c r="D26" s="45">
        <f>AVERAGE('PQ Audit Checklist'!H44,'PQ Audit Checklist'!H50,'PQ Audit Checklist'!H56,'PQ Audit Checklist'!H62,'PQ Audit Checklist'!H68,'PQ Audit Checklist'!H74,'PQ Audit Checklist'!H80,'PQ Audit Checklist'!H86,'PQ Audit Checklist'!H98)</f>
        <v>5.7777777777777777</v>
      </c>
      <c r="E26" s="45">
        <f>AVERAGE('PQ Audit Checklist'!I44,'PQ Audit Checklist'!I50,'PQ Audit Checklist'!I56,'PQ Audit Checklist'!I62,'PQ Audit Checklist'!I68,'PQ Audit Checklist'!I74,'PQ Audit Checklist'!I80,'PQ Audit Checklist'!I86,'PQ Audit Checklist'!I98)</f>
        <v>6.333333333333333</v>
      </c>
      <c r="F26" s="36" t="s">
        <v>875</v>
      </c>
      <c r="G26" s="36" t="s">
        <v>876</v>
      </c>
    </row>
    <row r="27" spans="2:7" ht="15.75" customHeight="1">
      <c r="B27" s="47" t="s">
        <v>40</v>
      </c>
      <c r="C27" s="45">
        <f>AVERAGE('PQ Audit Checklist'!G45,'PQ Audit Checklist'!G51,'PQ Audit Checklist'!G57,'PQ Audit Checklist'!G63,'PQ Audit Checklist'!G69,'PQ Audit Checklist'!G75,'PQ Audit Checklist'!G81,'PQ Audit Checklist'!G87,'PQ Audit Checklist'!G99)</f>
        <v>7.2222222222222223</v>
      </c>
      <c r="D27" s="45">
        <f>AVERAGE('PQ Audit Checklist'!H45,'PQ Audit Checklist'!H51,'PQ Audit Checklist'!H57,'PQ Audit Checklist'!H63,'PQ Audit Checklist'!H69,'PQ Audit Checklist'!H75,'PQ Audit Checklist'!H81,'PQ Audit Checklist'!H87,'PQ Audit Checklist'!H99)</f>
        <v>6</v>
      </c>
      <c r="E27" s="45">
        <f>AVERAGE('PQ Audit Checklist'!I45,'PQ Audit Checklist'!I51,'PQ Audit Checklist'!I57,'PQ Audit Checklist'!I63,'PQ Audit Checklist'!I69,'PQ Audit Checklist'!I75,'PQ Audit Checklist'!I81,'PQ Audit Checklist'!I87,'PQ Audit Checklist'!I99)</f>
        <v>7.333333333333333</v>
      </c>
      <c r="F27" s="36" t="s">
        <v>853</v>
      </c>
      <c r="G27" s="36" t="s">
        <v>877</v>
      </c>
    </row>
    <row r="28" spans="2:7" ht="15.75" customHeight="1">
      <c r="B28" s="48" t="s">
        <v>863</v>
      </c>
      <c r="C28" s="50">
        <f>AVERAGE(C22:C27)</f>
        <v>6.9629629629629628</v>
      </c>
      <c r="D28" s="50">
        <f>AVERAGE(D22:D27)</f>
        <v>5.814814814814814</v>
      </c>
      <c r="E28" s="50">
        <f>AVERAGE(E22:E27)</f>
        <v>7.185185185185186</v>
      </c>
      <c r="F28" s="49" t="s">
        <v>853</v>
      </c>
      <c r="G28" s="49" t="s">
        <v>878</v>
      </c>
    </row>
    <row r="29" spans="2:7" ht="15.75" customHeight="1"/>
    <row r="30" spans="2:7" ht="15.75" customHeight="1"/>
    <row r="31" spans="2:7" ht="15.75" customHeight="1">
      <c r="B31" s="43" t="s">
        <v>879</v>
      </c>
      <c r="C31" s="44" t="s">
        <v>850</v>
      </c>
      <c r="D31" s="44" t="s">
        <v>2</v>
      </c>
      <c r="E31" s="44" t="s">
        <v>3</v>
      </c>
      <c r="F31" s="46" t="s">
        <v>851</v>
      </c>
      <c r="G31" s="46" t="s">
        <v>852</v>
      </c>
    </row>
    <row r="32" spans="2:7" ht="15.75" customHeight="1">
      <c r="B32" s="10" t="s">
        <v>19</v>
      </c>
      <c r="C32" s="45">
        <f>AVERAGE('PQ Audit Checklist'!G4:G9)</f>
        <v>6</v>
      </c>
      <c r="D32" s="45">
        <f>AVERAGE('PQ Audit Checklist'!H4:H9)</f>
        <v>5.666666666666667</v>
      </c>
      <c r="E32" s="45">
        <f>AVERAGE('PQ Audit Checklist'!I4:I9)</f>
        <v>5.666666666666667</v>
      </c>
      <c r="F32" s="36" t="s">
        <v>858</v>
      </c>
      <c r="G32" s="36" t="s">
        <v>880</v>
      </c>
    </row>
    <row r="33" spans="2:7" ht="15.75" customHeight="1">
      <c r="B33" s="10" t="s">
        <v>44</v>
      </c>
      <c r="C33" s="45">
        <f>AVERAGE('PQ Audit Checklist'!M10:M15)</f>
        <v>6</v>
      </c>
      <c r="D33" s="45">
        <f>AVERAGE('PQ Audit Checklist'!N10:N15)</f>
        <v>5.5</v>
      </c>
      <c r="E33" s="45">
        <f>AVERAGE('PQ Audit Checklist'!O10:O15)</f>
        <v>5.833333333333333</v>
      </c>
      <c r="F33" s="36" t="s">
        <v>881</v>
      </c>
      <c r="G33" s="36" t="s">
        <v>882</v>
      </c>
    </row>
    <row r="34" spans="2:7" ht="15.75" customHeight="1">
      <c r="B34" s="10" t="s">
        <v>62</v>
      </c>
      <c r="C34" s="45">
        <f>AVERAGEA('PQ Audit Checklist'!G16:G21)</f>
        <v>6</v>
      </c>
      <c r="D34" s="45">
        <f>AVERAGEA('PQ Audit Checklist'!H16:H21)</f>
        <v>5.833333333333333</v>
      </c>
      <c r="E34" s="45">
        <f>AVERAGEA('PQ Audit Checklist'!I16:I21)</f>
        <v>6.5</v>
      </c>
      <c r="F34" s="36" t="s">
        <v>853</v>
      </c>
      <c r="G34" s="36" t="s">
        <v>883</v>
      </c>
    </row>
    <row r="35" spans="2:7" ht="15.75" customHeight="1">
      <c r="B35" s="10" t="s">
        <v>81</v>
      </c>
      <c r="C35" s="45">
        <f>AVERAGE('PQ Audit Checklist'!G22:G27)</f>
        <v>5.666666666666667</v>
      </c>
      <c r="D35" s="45">
        <f>AVERAGE('PQ Audit Checklist'!H22:H27)</f>
        <v>5.666666666666667</v>
      </c>
      <c r="E35" s="45">
        <f>AVERAGE('PQ Audit Checklist'!I22:I27)</f>
        <v>5.666666666666667</v>
      </c>
      <c r="F35" s="36" t="s">
        <v>860</v>
      </c>
      <c r="G35" s="36" t="s">
        <v>884</v>
      </c>
    </row>
    <row r="36" spans="2:7" ht="15.75" customHeight="1">
      <c r="B36" s="10" t="s">
        <v>98</v>
      </c>
      <c r="C36" s="45">
        <f>AVERAGE('PQ Audit Checklist'!G28:G33)</f>
        <v>6</v>
      </c>
      <c r="D36" s="45">
        <f>AVERAGE('PQ Audit Checklist'!H28:H33)</f>
        <v>5.5</v>
      </c>
      <c r="E36" s="45">
        <f>AVERAGE('PQ Audit Checklist'!I28:I33)</f>
        <v>6.333333333333333</v>
      </c>
      <c r="F36" s="36" t="s">
        <v>853</v>
      </c>
      <c r="G36" s="36" t="s">
        <v>885</v>
      </c>
    </row>
    <row r="37" spans="2:7" ht="15.75" customHeight="1">
      <c r="B37" s="10" t="s">
        <v>116</v>
      </c>
      <c r="C37" s="45">
        <f>AVERAGE('PQ Audit Checklist'!G34:G39)</f>
        <v>6</v>
      </c>
      <c r="D37" s="45">
        <f>AVERAGE('PQ Audit Checklist'!H34:H39)</f>
        <v>6</v>
      </c>
      <c r="E37" s="45">
        <f>AVERAGE('PQ Audit Checklist'!I34:I39)</f>
        <v>6.333333333333333</v>
      </c>
      <c r="F37" s="36" t="s">
        <v>853</v>
      </c>
      <c r="G37" s="36" t="s">
        <v>886</v>
      </c>
    </row>
    <row r="38" spans="2:7" ht="15.75" customHeight="1">
      <c r="B38" s="10" t="s">
        <v>131</v>
      </c>
      <c r="C38" s="45">
        <f>AVERAGE('PQ Audit Checklist'!G40:G45)</f>
        <v>7</v>
      </c>
      <c r="D38" s="45">
        <f>AVERAGE('PQ Audit Checklist'!H40:H45)</f>
        <v>5.5</v>
      </c>
      <c r="E38" s="45">
        <f>AVERAGE('PQ Audit Checklist'!I40:I45)</f>
        <v>8</v>
      </c>
      <c r="F38" s="36" t="s">
        <v>856</v>
      </c>
      <c r="G38" s="36" t="s">
        <v>887</v>
      </c>
    </row>
    <row r="39" spans="2:7" ht="15.75" customHeight="1">
      <c r="B39" s="10" t="s">
        <v>150</v>
      </c>
      <c r="C39" s="45">
        <f>AVERAGE('PQ Audit Checklist'!G46:G51)</f>
        <v>7</v>
      </c>
      <c r="D39" s="45">
        <f>AVERAGE('PQ Audit Checklist'!H46:H51)</f>
        <v>6.5</v>
      </c>
      <c r="E39" s="45">
        <f>AVERAGE('PQ Audit Checklist'!I46:I51)</f>
        <v>7.333333333333333</v>
      </c>
      <c r="F39" s="36" t="s">
        <v>853</v>
      </c>
      <c r="G39" s="36" t="s">
        <v>888</v>
      </c>
    </row>
    <row r="40" spans="2:7" ht="15.75" customHeight="1">
      <c r="B40" s="10" t="s">
        <v>169</v>
      </c>
      <c r="C40" s="45">
        <f>AVERAGE('PQ Audit Checklist'!G52:G57)</f>
        <v>7</v>
      </c>
      <c r="D40" s="45">
        <f>AVERAGE('PQ Audit Checklist'!H52:H57)</f>
        <v>5.333333333333333</v>
      </c>
      <c r="E40" s="45">
        <f>AVERAGE('PQ Audit Checklist'!I52:I57)</f>
        <v>7.5</v>
      </c>
      <c r="F40" s="36" t="s">
        <v>856</v>
      </c>
      <c r="G40" s="36" t="s">
        <v>889</v>
      </c>
    </row>
    <row r="41" spans="2:7" ht="15.75" customHeight="1">
      <c r="B41" s="10" t="s">
        <v>184</v>
      </c>
      <c r="C41" s="45">
        <f>AVERAGE('PQ Audit Checklist'!G58:G63)</f>
        <v>7.166666666666667</v>
      </c>
      <c r="D41" s="45">
        <f>AVERAGE('PQ Audit Checklist'!H58:H63)</f>
        <v>5.5</v>
      </c>
      <c r="E41" s="45">
        <f>AVERAGE('PQ Audit Checklist'!I58:I63)</f>
        <v>7.5</v>
      </c>
      <c r="F41" s="36" t="s">
        <v>853</v>
      </c>
      <c r="G41" s="36" t="s">
        <v>890</v>
      </c>
    </row>
    <row r="42" spans="2:7" ht="15.75" customHeight="1">
      <c r="B42" s="10" t="s">
        <v>199</v>
      </c>
      <c r="C42" s="45">
        <f>AVERAGE('PQ Audit Checklist'!G64:G69)</f>
        <v>7.333333333333333</v>
      </c>
      <c r="D42" s="45">
        <f>AVERAGE('PQ Audit Checklist'!H64:H69)</f>
        <v>6</v>
      </c>
      <c r="E42" s="45">
        <f>AVERAGE('PQ Audit Checklist'!I64:I69)</f>
        <v>7.5</v>
      </c>
      <c r="F42" s="36" t="s">
        <v>853</v>
      </c>
      <c r="G42" s="36" t="s">
        <v>891</v>
      </c>
    </row>
    <row r="43" spans="2:7" ht="15.75" customHeight="1">
      <c r="B43" s="10" t="s">
        <v>215</v>
      </c>
      <c r="C43" s="45">
        <f>AVERAGE('PQ Audit Checklist'!G70:G75)</f>
        <v>7.166666666666667</v>
      </c>
      <c r="D43" s="45">
        <f>AVERAGE('PQ Audit Checklist'!H70:H75)</f>
        <v>5.833333333333333</v>
      </c>
      <c r="E43" s="45">
        <f>AVERAGE('PQ Audit Checklist'!I70:I75)</f>
        <v>7.5</v>
      </c>
      <c r="F43" s="36" t="s">
        <v>853</v>
      </c>
      <c r="G43" s="36" t="s">
        <v>892</v>
      </c>
    </row>
    <row r="44" spans="2:7" ht="15.75" customHeight="1">
      <c r="B44" s="10" t="s">
        <v>230</v>
      </c>
      <c r="C44" s="45">
        <f>AVERAGE('PQ Audit Checklist'!G76:G81)</f>
        <v>6.833333333333333</v>
      </c>
      <c r="D44" s="45">
        <f>AVERAGE('PQ Audit Checklist'!H76:H81)</f>
        <v>5.833333333333333</v>
      </c>
      <c r="E44" s="45">
        <f>AVERAGE('PQ Audit Checklist'!I76:I81)</f>
        <v>6.333333333333333</v>
      </c>
      <c r="F44" s="36" t="s">
        <v>858</v>
      </c>
      <c r="G44" s="36" t="s">
        <v>893</v>
      </c>
    </row>
    <row r="45" spans="2:7" ht="15.75" customHeight="1">
      <c r="B45" s="10" t="s">
        <v>245</v>
      </c>
      <c r="C45" s="45">
        <f>AVERAGE('PQ Audit Checklist'!G82:G87)</f>
        <v>7.166666666666667</v>
      </c>
      <c r="D45" s="45">
        <f>AVERAGE('PQ Audit Checklist'!H82:H87)</f>
        <v>5.833333333333333</v>
      </c>
      <c r="E45" s="45">
        <f>AVERAGE('PQ Audit Checklist'!I82:I87)</f>
        <v>6.333333333333333</v>
      </c>
      <c r="F45" s="36" t="s">
        <v>858</v>
      </c>
      <c r="G45" s="36" t="s">
        <v>894</v>
      </c>
    </row>
    <row r="46" spans="2:7" ht="15.75" customHeight="1">
      <c r="B46" s="10" t="s">
        <v>272</v>
      </c>
      <c r="C46" s="45">
        <f>AVERAGE('PQ Audit Checklist'!G94:G99)</f>
        <v>6</v>
      </c>
      <c r="D46" s="45">
        <f>AVERAGE('PQ Audit Checklist'!H94:H99)</f>
        <v>6</v>
      </c>
      <c r="E46" s="45">
        <f>AVERAGE('PQ Audit Checklist'!I94:I99)</f>
        <v>6.666666666666667</v>
      </c>
      <c r="F46" s="36" t="s">
        <v>853</v>
      </c>
      <c r="G46" s="36" t="s">
        <v>895</v>
      </c>
    </row>
    <row r="47" spans="2:7" ht="15.75" customHeight="1">
      <c r="B47" s="48" t="s">
        <v>863</v>
      </c>
      <c r="C47" s="50">
        <f>AVERAGE(C32:C46)</f>
        <v>6.5555555555555562</v>
      </c>
      <c r="D47" s="50">
        <f>AVERAGE(D32:D46)</f>
        <v>5.7666666666666666</v>
      </c>
      <c r="E47" s="50">
        <f>AVERAGE(E32:E46)</f>
        <v>6.7333333333333334</v>
      </c>
      <c r="F47" s="49" t="s">
        <v>853</v>
      </c>
      <c r="G47" s="49" t="s">
        <v>864</v>
      </c>
    </row>
  </sheetData>
  <conditionalFormatting sqref="C32:E46">
    <cfRule type="colorScale" priority="1">
      <colorScale>
        <cfvo type="min"/>
        <cfvo type="percentile" val="50"/>
        <cfvo type="max"/>
        <color rgb="FFF8696B"/>
        <color rgb="FFFCFCFF"/>
        <color rgb="FF63BE7B"/>
      </colorScale>
    </cfRule>
  </conditionalFormatting>
  <conditionalFormatting sqref="C12:E17">
    <cfRule type="colorScale" priority="7">
      <colorScale>
        <cfvo type="min"/>
        <cfvo type="percentile" val="50"/>
        <cfvo type="max"/>
        <color rgb="FFF8696B"/>
        <color rgb="FFFCFCFF"/>
        <color rgb="FF63BE7B"/>
      </colorScale>
    </cfRule>
  </conditionalFormatting>
  <conditionalFormatting sqref="C2:E7">
    <cfRule type="colorScale" priority="8">
      <colorScale>
        <cfvo type="min"/>
        <cfvo type="percentile" val="50"/>
        <cfvo type="max"/>
        <color rgb="FFF8696B"/>
        <color rgb="FFFCFCFF"/>
        <color rgb="FF63BE7B"/>
      </colorScale>
    </cfRule>
  </conditionalFormatting>
  <conditionalFormatting sqref="C22:E27">
    <cfRule type="colorScale" priority="9">
      <colorScale>
        <cfvo type="min"/>
        <cfvo type="percentile" val="50"/>
        <cfvo type="max"/>
        <color rgb="FFF8696B"/>
        <color rgb="FFFCFCFF"/>
        <color rgb="FF63BE7B"/>
      </colorScale>
    </cfRule>
  </conditionalFormatting>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D5C01-D002-4D17-AA07-04B8F33CC939}">
  <dimension ref="B3:F23"/>
  <sheetViews>
    <sheetView topLeftCell="A5" zoomScaleNormal="100" workbookViewId="0">
      <selection activeCell="D25" sqref="D25"/>
    </sheetView>
  </sheetViews>
  <sheetFormatPr defaultRowHeight="14.45"/>
  <cols>
    <col min="2" max="2" width="5.28515625" style="1" customWidth="1"/>
    <col min="3" max="3" width="36.85546875" bestFit="1" customWidth="1"/>
    <col min="4" max="4" width="59.5703125" customWidth="1"/>
    <col min="5" max="5" width="43.140625" customWidth="1"/>
    <col min="6" max="6" width="23.5703125" customWidth="1"/>
  </cols>
  <sheetData>
    <row r="3" spans="2:6" ht="30.95">
      <c r="B3" s="55" t="s">
        <v>896</v>
      </c>
    </row>
    <row r="5" spans="2:6" ht="17.25" customHeight="1">
      <c r="B5" s="44" t="s">
        <v>897</v>
      </c>
      <c r="C5" s="44" t="s">
        <v>898</v>
      </c>
      <c r="D5" s="44" t="s">
        <v>296</v>
      </c>
      <c r="E5" s="44" t="s">
        <v>899</v>
      </c>
      <c r="F5" s="44" t="s">
        <v>6</v>
      </c>
    </row>
    <row r="6" spans="2:6" ht="32.65" customHeight="1">
      <c r="B6" s="35">
        <v>1</v>
      </c>
      <c r="C6" s="36" t="s">
        <v>900</v>
      </c>
      <c r="D6" s="73" t="s">
        <v>901</v>
      </c>
      <c r="E6" s="36" t="s">
        <v>902</v>
      </c>
      <c r="F6" s="36" t="s">
        <v>903</v>
      </c>
    </row>
    <row r="7" spans="2:6" ht="32.65" customHeight="1">
      <c r="B7" s="35">
        <v>2</v>
      </c>
      <c r="C7" s="36" t="s">
        <v>904</v>
      </c>
      <c r="D7" s="36" t="s">
        <v>905</v>
      </c>
      <c r="E7" s="36" t="s">
        <v>906</v>
      </c>
      <c r="F7" s="36" t="s">
        <v>907</v>
      </c>
    </row>
    <row r="8" spans="2:6" ht="32.65" customHeight="1">
      <c r="B8" s="35">
        <v>3</v>
      </c>
      <c r="C8" s="36" t="s">
        <v>908</v>
      </c>
      <c r="D8" s="36" t="s">
        <v>909</v>
      </c>
      <c r="E8" s="36" t="s">
        <v>910</v>
      </c>
      <c r="F8" s="36" t="s">
        <v>20</v>
      </c>
    </row>
    <row r="9" spans="2:6" ht="32.65" customHeight="1">
      <c r="B9" s="35">
        <v>4</v>
      </c>
      <c r="C9" s="36" t="s">
        <v>911</v>
      </c>
      <c r="D9" s="36" t="s">
        <v>912</v>
      </c>
      <c r="E9" s="36" t="s">
        <v>913</v>
      </c>
      <c r="F9" s="36" t="s">
        <v>914</v>
      </c>
    </row>
    <row r="10" spans="2:6" ht="32.65" customHeight="1">
      <c r="B10" s="35">
        <v>5</v>
      </c>
      <c r="C10" s="36" t="s">
        <v>915</v>
      </c>
      <c r="D10" s="36" t="s">
        <v>916</v>
      </c>
      <c r="E10" s="36" t="s">
        <v>917</v>
      </c>
      <c r="F10" s="36" t="s">
        <v>918</v>
      </c>
    </row>
    <row r="11" spans="2:6">
      <c r="B11" s="51"/>
      <c r="C11" s="51"/>
      <c r="D11" s="51"/>
      <c r="E11" s="51"/>
    </row>
    <row r="12" spans="2:6" ht="30.95">
      <c r="B12" s="56" t="s">
        <v>919</v>
      </c>
      <c r="C12" s="51"/>
      <c r="D12" s="51"/>
      <c r="E12" s="51"/>
    </row>
    <row r="13" spans="2:6" ht="11.65" customHeight="1">
      <c r="B13" s="54"/>
      <c r="C13" s="51"/>
      <c r="D13" s="51"/>
      <c r="E13" s="51"/>
    </row>
    <row r="14" spans="2:6">
      <c r="B14" s="46" t="s">
        <v>897</v>
      </c>
      <c r="C14" s="46" t="s">
        <v>920</v>
      </c>
      <c r="D14" s="46" t="s">
        <v>921</v>
      </c>
      <c r="E14" s="51"/>
    </row>
    <row r="15" spans="2:6" ht="37.5" customHeight="1">
      <c r="B15" s="52">
        <v>1</v>
      </c>
      <c r="C15" s="53" t="s">
        <v>922</v>
      </c>
      <c r="D15" s="36" t="s">
        <v>923</v>
      </c>
      <c r="E15" s="51"/>
    </row>
    <row r="16" spans="2:6" ht="37.5" customHeight="1">
      <c r="B16" s="52">
        <v>2</v>
      </c>
      <c r="C16" s="53" t="s">
        <v>924</v>
      </c>
      <c r="D16" s="36" t="s">
        <v>925</v>
      </c>
      <c r="E16" s="51"/>
    </row>
    <row r="17" spans="2:5" ht="37.5" customHeight="1">
      <c r="B17" s="52">
        <v>3</v>
      </c>
      <c r="C17" s="53" t="s">
        <v>926</v>
      </c>
      <c r="D17" s="36" t="s">
        <v>927</v>
      </c>
      <c r="E17" s="51"/>
    </row>
    <row r="18" spans="2:5" ht="37.5" customHeight="1">
      <c r="B18" s="52">
        <v>4</v>
      </c>
      <c r="C18" s="53" t="s">
        <v>928</v>
      </c>
      <c r="D18" s="36" t="s">
        <v>929</v>
      </c>
      <c r="E18" s="51"/>
    </row>
    <row r="19" spans="2:5" ht="37.5" customHeight="1">
      <c r="B19" s="52">
        <v>5</v>
      </c>
      <c r="C19" s="53" t="s">
        <v>930</v>
      </c>
      <c r="D19" s="36" t="s">
        <v>931</v>
      </c>
      <c r="E19" s="51"/>
    </row>
    <row r="20" spans="2:5" ht="37.5" customHeight="1">
      <c r="B20" s="52">
        <v>6</v>
      </c>
      <c r="C20" s="53" t="s">
        <v>932</v>
      </c>
      <c r="D20" s="36" t="s">
        <v>933</v>
      </c>
      <c r="E20" s="51"/>
    </row>
    <row r="21" spans="2:5" ht="37.5" customHeight="1">
      <c r="B21" s="52">
        <v>7</v>
      </c>
      <c r="C21" s="53" t="s">
        <v>934</v>
      </c>
      <c r="D21" s="36" t="s">
        <v>935</v>
      </c>
      <c r="E21" s="51"/>
    </row>
    <row r="22" spans="2:5">
      <c r="B22" s="51"/>
      <c r="C22" s="51"/>
      <c r="D22" s="51"/>
      <c r="E22" s="51"/>
    </row>
    <row r="23" spans="2:5">
      <c r="B23" s="51"/>
      <c r="C23" s="51"/>
      <c r="D23" s="51"/>
      <c r="E23" s="5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A241A-24CE-4C6A-85FC-C888D84B116A}">
  <sheetPr>
    <tabColor rgb="FF92D050"/>
  </sheetPr>
  <dimension ref="A1:U29"/>
  <sheetViews>
    <sheetView showGridLines="0" topLeftCell="A2" zoomScale="70" zoomScaleNormal="70" workbookViewId="0">
      <selection activeCell="G20" sqref="G20"/>
    </sheetView>
  </sheetViews>
  <sheetFormatPr defaultColWidth="9.28515625" defaultRowHeight="12.75" customHeight="1"/>
  <cols>
    <col min="1" max="1" width="5.5703125" style="97" customWidth="1"/>
    <col min="2" max="2" width="15.42578125" style="97" customWidth="1"/>
    <col min="3" max="3" width="11.42578125" style="97" customWidth="1"/>
    <col min="4" max="4" width="15.7109375" style="97" customWidth="1"/>
    <col min="5" max="5" width="40.7109375" style="97" customWidth="1"/>
    <col min="6" max="6" width="8.7109375" style="97" customWidth="1"/>
    <col min="7" max="7" width="15.7109375" style="97" customWidth="1"/>
    <col min="8" max="8" width="5.7109375" style="97" customWidth="1"/>
    <col min="9" max="9" width="15.7109375" style="97" customWidth="1"/>
    <col min="10" max="10" width="50.7109375" style="97" customWidth="1"/>
    <col min="11" max="11" width="2.7109375" style="97" customWidth="1"/>
    <col min="12" max="12" width="25.7109375" style="97" customWidth="1"/>
    <col min="13" max="13" width="10.7109375" style="97" customWidth="1"/>
    <col min="14" max="14" width="5.7109375" style="97" customWidth="1"/>
    <col min="15" max="15" width="15.7109375" style="97" customWidth="1"/>
    <col min="16" max="16" width="60.7109375" style="97" customWidth="1"/>
    <col min="17" max="17" width="2.7109375" style="97" customWidth="1"/>
    <col min="18" max="18" width="10.7109375" style="97" customWidth="1"/>
    <col min="19" max="19" width="15.7109375" style="97" customWidth="1"/>
    <col min="20" max="20" width="9.28515625" style="97"/>
    <col min="21" max="21" width="11.5703125" style="97" customWidth="1"/>
    <col min="22" max="22" width="51.28515625" style="97" customWidth="1"/>
    <col min="23" max="23" width="10.42578125" style="97" customWidth="1"/>
    <col min="24" max="16384" width="9.28515625" style="97"/>
  </cols>
  <sheetData>
    <row r="1" spans="1:21" ht="23.65" customHeight="1">
      <c r="B1" s="98" t="s">
        <v>936</v>
      </c>
      <c r="C1" s="99"/>
    </row>
    <row r="2" spans="1:21" ht="60" customHeight="1">
      <c r="B2" s="100" t="s">
        <v>763</v>
      </c>
      <c r="C2" s="197" t="s">
        <v>937</v>
      </c>
      <c r="D2" s="197"/>
      <c r="E2" s="197"/>
      <c r="F2" s="100" t="s">
        <v>938</v>
      </c>
      <c r="G2" s="100" t="s">
        <v>767</v>
      </c>
      <c r="H2" s="101"/>
      <c r="I2" s="100" t="s">
        <v>939</v>
      </c>
      <c r="J2" s="100" t="s">
        <v>940</v>
      </c>
      <c r="K2" s="102"/>
      <c r="L2" s="100" t="s">
        <v>941</v>
      </c>
      <c r="M2" s="100" t="s">
        <v>938</v>
      </c>
      <c r="N2" s="101"/>
      <c r="O2" s="100" t="s">
        <v>942</v>
      </c>
      <c r="P2" s="100" t="s">
        <v>943</v>
      </c>
      <c r="Q2" s="103"/>
      <c r="R2" s="100" t="s">
        <v>938</v>
      </c>
      <c r="S2" s="104" t="s">
        <v>944</v>
      </c>
      <c r="T2" s="101"/>
      <c r="U2" s="105"/>
    </row>
    <row r="3" spans="1:21" ht="49.9" customHeight="1">
      <c r="B3" s="195" t="s">
        <v>776</v>
      </c>
      <c r="C3" s="201" t="s">
        <v>945</v>
      </c>
      <c r="D3" s="201"/>
      <c r="E3" s="201"/>
      <c r="F3" s="100">
        <v>10</v>
      </c>
      <c r="G3" s="203" t="s">
        <v>946</v>
      </c>
      <c r="H3" s="101"/>
      <c r="I3" s="100" t="s">
        <v>947</v>
      </c>
      <c r="J3" s="106" t="s">
        <v>948</v>
      </c>
      <c r="K3" s="198"/>
      <c r="L3" s="107" t="s">
        <v>949</v>
      </c>
      <c r="M3" s="108">
        <v>10</v>
      </c>
      <c r="N3" s="101"/>
      <c r="O3" s="100" t="s">
        <v>950</v>
      </c>
      <c r="P3" s="106" t="s">
        <v>951</v>
      </c>
      <c r="Q3" s="198"/>
      <c r="R3" s="108">
        <v>10</v>
      </c>
      <c r="S3" s="104" t="s">
        <v>952</v>
      </c>
      <c r="T3" s="101"/>
      <c r="U3" s="105"/>
    </row>
    <row r="4" spans="1:21" ht="49.9" customHeight="1">
      <c r="B4" s="196"/>
      <c r="C4" s="201" t="s">
        <v>953</v>
      </c>
      <c r="D4" s="201"/>
      <c r="E4" s="201"/>
      <c r="F4" s="100">
        <v>9</v>
      </c>
      <c r="G4" s="204"/>
      <c r="H4" s="101"/>
      <c r="I4" s="195" t="s">
        <v>954</v>
      </c>
      <c r="J4" s="106" t="s">
        <v>955</v>
      </c>
      <c r="K4" s="199"/>
      <c r="L4" s="107" t="s">
        <v>956</v>
      </c>
      <c r="M4" s="108">
        <v>9</v>
      </c>
      <c r="N4" s="101"/>
      <c r="O4" s="100" t="s">
        <v>957</v>
      </c>
      <c r="P4" s="106" t="s">
        <v>958</v>
      </c>
      <c r="Q4" s="199"/>
      <c r="R4" s="108">
        <v>9</v>
      </c>
      <c r="S4" s="104" t="s">
        <v>959</v>
      </c>
      <c r="T4" s="101"/>
      <c r="U4" s="105"/>
    </row>
    <row r="5" spans="1:21" ht="55.15" customHeight="1">
      <c r="B5" s="195" t="s">
        <v>788</v>
      </c>
      <c r="C5" s="201" t="s">
        <v>960</v>
      </c>
      <c r="D5" s="201"/>
      <c r="E5" s="201"/>
      <c r="F5" s="100">
        <v>8</v>
      </c>
      <c r="G5" s="203" t="s">
        <v>961</v>
      </c>
      <c r="H5" s="101"/>
      <c r="I5" s="202"/>
      <c r="J5" s="106" t="s">
        <v>962</v>
      </c>
      <c r="K5" s="199"/>
      <c r="L5" s="107" t="s">
        <v>963</v>
      </c>
      <c r="M5" s="108">
        <v>8</v>
      </c>
      <c r="N5" s="101"/>
      <c r="O5" s="195" t="s">
        <v>964</v>
      </c>
      <c r="P5" s="106" t="s">
        <v>965</v>
      </c>
      <c r="Q5" s="199"/>
      <c r="R5" s="108">
        <v>8</v>
      </c>
      <c r="S5" s="104" t="s">
        <v>966</v>
      </c>
      <c r="T5" s="101"/>
      <c r="U5" s="105"/>
    </row>
    <row r="6" spans="1:21" ht="49.9" customHeight="1">
      <c r="B6" s="196"/>
      <c r="C6" s="201" t="s">
        <v>967</v>
      </c>
      <c r="D6" s="201"/>
      <c r="E6" s="201"/>
      <c r="F6" s="100">
        <v>7</v>
      </c>
      <c r="G6" s="204"/>
      <c r="H6" s="101"/>
      <c r="I6" s="196"/>
      <c r="J6" s="106" t="s">
        <v>968</v>
      </c>
      <c r="K6" s="199"/>
      <c r="L6" s="107" t="s">
        <v>969</v>
      </c>
      <c r="M6" s="108">
        <v>7</v>
      </c>
      <c r="N6" s="101"/>
      <c r="O6" s="202"/>
      <c r="P6" s="106" t="s">
        <v>970</v>
      </c>
      <c r="Q6" s="199"/>
      <c r="R6" s="108">
        <v>7</v>
      </c>
      <c r="S6" s="104" t="s">
        <v>971</v>
      </c>
      <c r="T6" s="101"/>
      <c r="U6" s="105"/>
    </row>
    <row r="7" spans="1:21" ht="49.9" customHeight="1">
      <c r="B7" s="195" t="s">
        <v>972</v>
      </c>
      <c r="C7" s="201" t="s">
        <v>973</v>
      </c>
      <c r="D7" s="201"/>
      <c r="E7" s="201"/>
      <c r="F7" s="100">
        <v>6</v>
      </c>
      <c r="G7" s="203" t="s">
        <v>974</v>
      </c>
      <c r="H7" s="101"/>
      <c r="I7" s="195" t="s">
        <v>975</v>
      </c>
      <c r="J7" s="106" t="s">
        <v>976</v>
      </c>
      <c r="K7" s="199"/>
      <c r="L7" s="107" t="s">
        <v>977</v>
      </c>
      <c r="M7" s="108">
        <v>6</v>
      </c>
      <c r="N7" s="101"/>
      <c r="O7" s="196"/>
      <c r="P7" s="106" t="s">
        <v>978</v>
      </c>
      <c r="Q7" s="199"/>
      <c r="R7" s="108">
        <v>6</v>
      </c>
      <c r="S7" s="104" t="s">
        <v>979</v>
      </c>
      <c r="T7" s="101"/>
      <c r="U7" s="105"/>
    </row>
    <row r="8" spans="1:21" ht="49.9" customHeight="1">
      <c r="B8" s="196"/>
      <c r="C8" s="201" t="s">
        <v>980</v>
      </c>
      <c r="D8" s="201"/>
      <c r="E8" s="201"/>
      <c r="F8" s="100">
        <v>5</v>
      </c>
      <c r="G8" s="204"/>
      <c r="H8" s="101"/>
      <c r="I8" s="202"/>
      <c r="J8" s="106" t="s">
        <v>981</v>
      </c>
      <c r="K8" s="199"/>
      <c r="L8" s="107" t="s">
        <v>982</v>
      </c>
      <c r="M8" s="108">
        <v>5</v>
      </c>
      <c r="N8" s="101"/>
      <c r="O8" s="195" t="s">
        <v>983</v>
      </c>
      <c r="P8" s="106" t="s">
        <v>984</v>
      </c>
      <c r="Q8" s="199"/>
      <c r="R8" s="108">
        <v>5</v>
      </c>
      <c r="S8" s="104" t="s">
        <v>975</v>
      </c>
      <c r="T8" s="101"/>
      <c r="U8" s="105"/>
    </row>
    <row r="9" spans="1:21" ht="49.9" customHeight="1">
      <c r="B9" s="195" t="s">
        <v>985</v>
      </c>
      <c r="C9" s="201" t="s">
        <v>986</v>
      </c>
      <c r="D9" s="201"/>
      <c r="E9" s="201"/>
      <c r="F9" s="100">
        <v>4</v>
      </c>
      <c r="G9" s="203" t="s">
        <v>987</v>
      </c>
      <c r="H9" s="101"/>
      <c r="I9" s="196"/>
      <c r="J9" s="106" t="s">
        <v>988</v>
      </c>
      <c r="K9" s="199"/>
      <c r="L9" s="107" t="s">
        <v>989</v>
      </c>
      <c r="M9" s="108">
        <v>4</v>
      </c>
      <c r="N9" s="101"/>
      <c r="O9" s="202"/>
      <c r="P9" s="106" t="s">
        <v>990</v>
      </c>
      <c r="Q9" s="199"/>
      <c r="R9" s="108">
        <v>4</v>
      </c>
      <c r="S9" s="104" t="s">
        <v>991</v>
      </c>
      <c r="T9" s="101"/>
      <c r="U9" s="105"/>
    </row>
    <row r="10" spans="1:21" ht="49.9" customHeight="1">
      <c r="B10" s="202"/>
      <c r="C10" s="201" t="s">
        <v>992</v>
      </c>
      <c r="D10" s="201"/>
      <c r="E10" s="201"/>
      <c r="F10" s="100">
        <v>3</v>
      </c>
      <c r="G10" s="206"/>
      <c r="H10" s="101"/>
      <c r="I10" s="195" t="s">
        <v>979</v>
      </c>
      <c r="J10" s="106" t="s">
        <v>993</v>
      </c>
      <c r="K10" s="199"/>
      <c r="L10" s="107" t="s">
        <v>994</v>
      </c>
      <c r="M10" s="108">
        <v>3</v>
      </c>
      <c r="N10" s="101"/>
      <c r="O10" s="196"/>
      <c r="P10" s="106" t="s">
        <v>995</v>
      </c>
      <c r="Q10" s="199"/>
      <c r="R10" s="108">
        <v>3</v>
      </c>
      <c r="S10" s="104" t="s">
        <v>954</v>
      </c>
      <c r="T10" s="101"/>
      <c r="U10" s="105"/>
    </row>
    <row r="11" spans="1:21" ht="49.9" customHeight="1">
      <c r="B11" s="196"/>
      <c r="C11" s="201" t="s">
        <v>996</v>
      </c>
      <c r="D11" s="201"/>
      <c r="E11" s="201"/>
      <c r="F11" s="100">
        <v>2</v>
      </c>
      <c r="G11" s="206"/>
      <c r="H11" s="101"/>
      <c r="I11" s="196"/>
      <c r="J11" s="106" t="s">
        <v>997</v>
      </c>
      <c r="K11" s="199"/>
      <c r="L11" s="107" t="s">
        <v>998</v>
      </c>
      <c r="M11" s="108">
        <v>2</v>
      </c>
      <c r="N11" s="101"/>
      <c r="O11" s="100" t="s">
        <v>999</v>
      </c>
      <c r="P11" s="106" t="s">
        <v>1000</v>
      </c>
      <c r="Q11" s="199"/>
      <c r="R11" s="108">
        <v>2</v>
      </c>
      <c r="S11" s="104" t="s">
        <v>947</v>
      </c>
      <c r="T11" s="101"/>
      <c r="U11" s="105"/>
    </row>
    <row r="12" spans="1:21" ht="60" customHeight="1">
      <c r="B12" s="100" t="s">
        <v>824</v>
      </c>
      <c r="C12" s="201" t="s">
        <v>826</v>
      </c>
      <c r="D12" s="201"/>
      <c r="E12" s="201"/>
      <c r="F12" s="100">
        <v>1</v>
      </c>
      <c r="G12" s="204"/>
      <c r="H12" s="101"/>
      <c r="I12" s="100" t="s">
        <v>971</v>
      </c>
      <c r="J12" s="106" t="s">
        <v>1001</v>
      </c>
      <c r="K12" s="200"/>
      <c r="L12" s="107" t="s">
        <v>1002</v>
      </c>
      <c r="M12" s="108">
        <v>1</v>
      </c>
      <c r="N12" s="101"/>
      <c r="O12" s="100" t="s">
        <v>1003</v>
      </c>
      <c r="P12" s="106" t="s">
        <v>1004</v>
      </c>
      <c r="Q12" s="200"/>
      <c r="R12" s="108">
        <v>1</v>
      </c>
      <c r="S12" s="104" t="s">
        <v>1005</v>
      </c>
      <c r="T12" s="101"/>
      <c r="U12" s="105"/>
    </row>
    <row r="13" spans="1:21" ht="19.899999999999999" customHeight="1">
      <c r="A13" s="105"/>
      <c r="B13" s="205" t="s">
        <v>1006</v>
      </c>
      <c r="C13" s="205"/>
      <c r="D13" s="205"/>
      <c r="E13" s="205"/>
      <c r="F13" s="205"/>
      <c r="G13" s="205"/>
      <c r="H13" s="205"/>
      <c r="I13" s="205"/>
      <c r="J13" s="205"/>
      <c r="K13" s="205"/>
      <c r="L13" s="205"/>
      <c r="M13" s="205"/>
      <c r="N13" s="109"/>
      <c r="O13" s="109"/>
      <c r="P13" s="109"/>
      <c r="Q13" s="109"/>
      <c r="R13" s="109"/>
      <c r="S13" s="109"/>
      <c r="T13" s="110"/>
      <c r="U13" s="105"/>
    </row>
    <row r="14" spans="1:21" ht="12.75" customHeight="1">
      <c r="A14" s="105"/>
      <c r="B14" s="105"/>
      <c r="C14" s="105"/>
      <c r="D14" s="105"/>
      <c r="E14" s="105"/>
      <c r="F14" s="105"/>
      <c r="G14" s="105"/>
      <c r="H14" s="105"/>
      <c r="I14" s="105"/>
      <c r="J14" s="105"/>
      <c r="K14" s="105"/>
      <c r="L14" s="105"/>
      <c r="M14" s="105"/>
      <c r="N14" s="105"/>
      <c r="O14" s="105"/>
      <c r="P14" s="105"/>
      <c r="Q14" s="105"/>
      <c r="R14" s="105"/>
      <c r="S14" s="105"/>
      <c r="T14" s="105"/>
      <c r="U14" s="105"/>
    </row>
    <row r="15" spans="1:21" ht="19.899999999999999" customHeight="1">
      <c r="B15" s="98" t="s">
        <v>1007</v>
      </c>
      <c r="C15" s="111"/>
    </row>
    <row r="16" spans="1:21" ht="13.5" thickBot="1">
      <c r="B16" s="111"/>
      <c r="C16" s="111"/>
    </row>
    <row r="17" spans="2:14" s="117" customFormat="1" ht="40.5" customHeight="1">
      <c r="B17" s="112" t="s">
        <v>1008</v>
      </c>
      <c r="C17" s="113" t="s">
        <v>1009</v>
      </c>
      <c r="D17" s="114" t="s">
        <v>1010</v>
      </c>
      <c r="E17" s="115" t="s">
        <v>1011</v>
      </c>
      <c r="F17" s="116"/>
      <c r="H17" s="97"/>
      <c r="N17" s="97"/>
    </row>
    <row r="18" spans="2:14" ht="49.9" customHeight="1">
      <c r="B18" s="118" t="s">
        <v>946</v>
      </c>
      <c r="C18" s="119" t="s">
        <v>1012</v>
      </c>
      <c r="D18" s="120" t="s">
        <v>1013</v>
      </c>
      <c r="E18" s="121" t="s">
        <v>1014</v>
      </c>
      <c r="F18" s="122"/>
    </row>
    <row r="19" spans="2:14" ht="90" customHeight="1">
      <c r="B19" s="118" t="s">
        <v>961</v>
      </c>
      <c r="C19" s="119" t="s">
        <v>1015</v>
      </c>
      <c r="D19" s="120" t="s">
        <v>1016</v>
      </c>
      <c r="E19" s="121" t="s">
        <v>1017</v>
      </c>
      <c r="F19" s="123"/>
    </row>
    <row r="20" spans="2:14" ht="49.9" customHeight="1">
      <c r="B20" s="118" t="s">
        <v>974</v>
      </c>
      <c r="C20" s="119" t="s">
        <v>1018</v>
      </c>
      <c r="D20" s="120" t="s">
        <v>1019</v>
      </c>
      <c r="E20" s="121" t="s">
        <v>1020</v>
      </c>
      <c r="F20" s="123"/>
    </row>
    <row r="21" spans="2:14" ht="49.9" customHeight="1" thickBot="1">
      <c r="B21" s="124" t="s">
        <v>987</v>
      </c>
      <c r="C21" s="125" t="s">
        <v>1021</v>
      </c>
      <c r="D21" s="126" t="s">
        <v>1022</v>
      </c>
      <c r="E21" s="127" t="s">
        <v>1023</v>
      </c>
      <c r="F21" s="122"/>
    </row>
    <row r="23" spans="2:14" ht="12.6">
      <c r="D23" s="122"/>
    </row>
    <row r="28" spans="2:14" ht="12.6">
      <c r="E28" s="128"/>
      <c r="F28" s="128"/>
    </row>
    <row r="29" spans="2:14" ht="12.6">
      <c r="E29" s="128"/>
      <c r="F29" s="128"/>
    </row>
  </sheetData>
  <mergeCells count="27">
    <mergeCell ref="B13:M13"/>
    <mergeCell ref="C9:E9"/>
    <mergeCell ref="G9:G12"/>
    <mergeCell ref="C10:E10"/>
    <mergeCell ref="I10:I11"/>
    <mergeCell ref="C11:E11"/>
    <mergeCell ref="C12:E12"/>
    <mergeCell ref="C2:E2"/>
    <mergeCell ref="B3:B4"/>
    <mergeCell ref="C3:E3"/>
    <mergeCell ref="G3:G4"/>
    <mergeCell ref="K3:K12"/>
    <mergeCell ref="G5:G6"/>
    <mergeCell ref="C6:E6"/>
    <mergeCell ref="B7:B8"/>
    <mergeCell ref="C7:E7"/>
    <mergeCell ref="G7:G8"/>
    <mergeCell ref="I7:I9"/>
    <mergeCell ref="C8:E8"/>
    <mergeCell ref="B9:B11"/>
    <mergeCell ref="Q3:Q12"/>
    <mergeCell ref="C4:E4"/>
    <mergeCell ref="I4:I6"/>
    <mergeCell ref="B5:B6"/>
    <mergeCell ref="C5:E5"/>
    <mergeCell ref="O5:O7"/>
    <mergeCell ref="O8:O10"/>
  </mergeCells>
  <pageMargins left="0.75" right="0.75" top="1" bottom="1" header="0.5" footer="0.5"/>
  <pageSetup orientation="portrait"/>
  <headerFooter alignWithMargins="0">
    <oddHeader>&amp;C&amp;A</oddHeader>
    <oddFooter>&amp;CPage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6073D-7B54-4DC2-BB28-91880A74F899}">
  <dimension ref="B2:R38"/>
  <sheetViews>
    <sheetView topLeftCell="B6" workbookViewId="0">
      <selection activeCell="E40" sqref="E40"/>
    </sheetView>
  </sheetViews>
  <sheetFormatPr defaultRowHeight="14.45"/>
  <cols>
    <col min="2" max="2" width="31.42578125" customWidth="1"/>
    <col min="3" max="3" width="17.42578125" customWidth="1"/>
    <col min="4" max="4" width="14.140625" customWidth="1"/>
    <col min="5" max="5" width="98.42578125" customWidth="1"/>
    <col min="6" max="6" width="3.42578125" customWidth="1"/>
  </cols>
  <sheetData>
    <row r="2" spans="2:18">
      <c r="B2" s="66" t="s">
        <v>1024</v>
      </c>
    </row>
    <row r="3" spans="2:18" ht="15.75" customHeight="1">
      <c r="B3" s="46" t="s">
        <v>1025</v>
      </c>
      <c r="C3" s="46" t="s">
        <v>1026</v>
      </c>
      <c r="D3" s="46" t="s">
        <v>1027</v>
      </c>
      <c r="E3" s="46" t="s">
        <v>1028</v>
      </c>
    </row>
    <row r="4" spans="2:18" ht="15.75" customHeight="1">
      <c r="B4" s="69" t="s">
        <v>1029</v>
      </c>
      <c r="C4" s="35" t="s">
        <v>1030</v>
      </c>
      <c r="D4" s="35" t="s">
        <v>1031</v>
      </c>
      <c r="E4" s="69" t="s">
        <v>1032</v>
      </c>
      <c r="P4" s="67"/>
      <c r="Q4" s="67"/>
      <c r="R4" s="67"/>
    </row>
    <row r="5" spans="2:18" ht="15.75" customHeight="1">
      <c r="B5" s="69" t="s">
        <v>1033</v>
      </c>
      <c r="C5" s="35" t="s">
        <v>1030</v>
      </c>
      <c r="D5" s="35" t="s">
        <v>1031</v>
      </c>
      <c r="E5" s="69" t="s">
        <v>1034</v>
      </c>
      <c r="P5" s="51"/>
      <c r="Q5" s="51"/>
      <c r="R5" s="51"/>
    </row>
    <row r="6" spans="2:18" ht="15.75" customHeight="1">
      <c r="B6" s="69" t="s">
        <v>1035</v>
      </c>
      <c r="C6" s="35" t="s">
        <v>1036</v>
      </c>
      <c r="D6" s="35" t="s">
        <v>1031</v>
      </c>
      <c r="E6" s="69" t="s">
        <v>1037</v>
      </c>
      <c r="P6" s="51"/>
      <c r="Q6" s="51"/>
      <c r="R6" s="51"/>
    </row>
    <row r="7" spans="2:18" ht="15.75" customHeight="1">
      <c r="B7" s="69" t="s">
        <v>1038</v>
      </c>
      <c r="C7" s="35" t="s">
        <v>1039</v>
      </c>
      <c r="D7" s="35" t="s">
        <v>1031</v>
      </c>
      <c r="E7" s="69" t="s">
        <v>1040</v>
      </c>
      <c r="P7" s="51"/>
      <c r="Q7" s="51"/>
      <c r="R7" s="51"/>
    </row>
    <row r="8" spans="2:18" ht="15.75" customHeight="1">
      <c r="B8" s="69" t="s">
        <v>1041</v>
      </c>
      <c r="C8" s="35" t="s">
        <v>1039</v>
      </c>
      <c r="D8" s="35" t="s">
        <v>1031</v>
      </c>
      <c r="E8" s="69" t="s">
        <v>1042</v>
      </c>
      <c r="P8" s="51"/>
      <c r="Q8" s="51"/>
      <c r="R8" s="51"/>
    </row>
    <row r="9" spans="2:18">
      <c r="B9" s="68" t="s">
        <v>1043</v>
      </c>
      <c r="C9" t="s">
        <v>1044</v>
      </c>
      <c r="D9" s="1"/>
      <c r="E9" s="1"/>
      <c r="P9" s="51"/>
      <c r="Q9" s="51"/>
      <c r="R9" s="51"/>
    </row>
    <row r="10" spans="2:18">
      <c r="B10" s="1"/>
      <c r="C10" t="s">
        <v>1045</v>
      </c>
      <c r="D10" s="1"/>
      <c r="E10" s="1"/>
      <c r="P10" s="51"/>
      <c r="Q10" s="51"/>
      <c r="R10" s="51"/>
    </row>
    <row r="11" spans="2:18">
      <c r="B11" s="1"/>
      <c r="C11" t="s">
        <v>1046</v>
      </c>
      <c r="E11" s="1"/>
    </row>
    <row r="13" spans="2:18">
      <c r="B13" s="66" t="s">
        <v>1047</v>
      </c>
      <c r="D13" s="1"/>
      <c r="E13" s="1"/>
    </row>
    <row r="14" spans="2:18">
      <c r="B14" s="64" t="s">
        <v>1025</v>
      </c>
      <c r="C14" s="65" t="s">
        <v>1026</v>
      </c>
      <c r="D14" s="65" t="s">
        <v>1027</v>
      </c>
      <c r="E14" s="64" t="s">
        <v>1028</v>
      </c>
    </row>
    <row r="15" spans="2:18">
      <c r="B15" s="63" t="s">
        <v>1048</v>
      </c>
      <c r="C15" s="52" t="s">
        <v>1049</v>
      </c>
      <c r="D15" s="52" t="s">
        <v>1031</v>
      </c>
      <c r="E15" s="63" t="s">
        <v>1050</v>
      </c>
    </row>
    <row r="16" spans="2:18">
      <c r="B16" s="63" t="s">
        <v>1051</v>
      </c>
      <c r="C16" s="52" t="s">
        <v>1049</v>
      </c>
      <c r="D16" s="52" t="s">
        <v>1031</v>
      </c>
      <c r="E16" s="63" t="s">
        <v>1052</v>
      </c>
    </row>
    <row r="17" spans="2:5">
      <c r="B17" s="63" t="s">
        <v>1053</v>
      </c>
      <c r="C17" s="52" t="s">
        <v>1054</v>
      </c>
      <c r="D17" s="52" t="s">
        <v>1031</v>
      </c>
      <c r="E17" s="63" t="s">
        <v>1055</v>
      </c>
    </row>
    <row r="18" spans="2:5">
      <c r="B18" s="63" t="s">
        <v>1056</v>
      </c>
      <c r="C18" s="52" t="s">
        <v>1039</v>
      </c>
      <c r="D18" s="52" t="s">
        <v>1031</v>
      </c>
      <c r="E18" s="63" t="s">
        <v>1057</v>
      </c>
    </row>
    <row r="19" spans="2:5">
      <c r="B19" s="63" t="s">
        <v>1058</v>
      </c>
      <c r="C19" s="52" t="s">
        <v>1054</v>
      </c>
      <c r="D19" s="52" t="s">
        <v>1031</v>
      </c>
      <c r="E19" s="63" t="s">
        <v>1059</v>
      </c>
    </row>
    <row r="20" spans="2:5">
      <c r="B20" s="68" t="s">
        <v>1043</v>
      </c>
      <c r="C20" t="s">
        <v>1060</v>
      </c>
    </row>
    <row r="21" spans="2:5">
      <c r="C21" t="s">
        <v>1061</v>
      </c>
    </row>
    <row r="22" spans="2:5">
      <c r="B22" s="1"/>
      <c r="C22" t="s">
        <v>1044</v>
      </c>
    </row>
    <row r="23" spans="2:5">
      <c r="B23" s="66" t="s">
        <v>1062</v>
      </c>
      <c r="D23" s="1"/>
      <c r="E23" s="1"/>
    </row>
    <row r="24" spans="2:5">
      <c r="B24" s="64" t="s">
        <v>1025</v>
      </c>
      <c r="C24" s="65" t="s">
        <v>1026</v>
      </c>
      <c r="D24" s="65" t="s">
        <v>1027</v>
      </c>
      <c r="E24" s="64" t="s">
        <v>1028</v>
      </c>
    </row>
    <row r="25" spans="2:5">
      <c r="B25" s="63" t="s">
        <v>1048</v>
      </c>
      <c r="C25" s="52" t="s">
        <v>1049</v>
      </c>
      <c r="D25" s="52" t="s">
        <v>1031</v>
      </c>
      <c r="E25" s="63" t="s">
        <v>1063</v>
      </c>
    </row>
    <row r="26" spans="2:5">
      <c r="B26" s="63" t="s">
        <v>1051</v>
      </c>
      <c r="C26" s="52" t="s">
        <v>1049</v>
      </c>
      <c r="D26" s="52" t="s">
        <v>1031</v>
      </c>
      <c r="E26" s="63" t="s">
        <v>1064</v>
      </c>
    </row>
    <row r="27" spans="2:5">
      <c r="B27" s="63" t="s">
        <v>1053</v>
      </c>
      <c r="C27" s="52" t="s">
        <v>1054</v>
      </c>
      <c r="D27" s="52" t="s">
        <v>1031</v>
      </c>
      <c r="E27" s="63" t="s">
        <v>1065</v>
      </c>
    </row>
    <row r="28" spans="2:5">
      <c r="B28" s="63" t="s">
        <v>1056</v>
      </c>
      <c r="C28" s="52" t="s">
        <v>1039</v>
      </c>
      <c r="D28" s="52" t="s">
        <v>1031</v>
      </c>
      <c r="E28" s="63" t="s">
        <v>1066</v>
      </c>
    </row>
    <row r="29" spans="2:5">
      <c r="B29" s="68" t="s">
        <v>1043</v>
      </c>
      <c r="C29" t="s">
        <v>1067</v>
      </c>
    </row>
    <row r="30" spans="2:5">
      <c r="C30" t="s">
        <v>1068</v>
      </c>
    </row>
    <row r="31" spans="2:5">
      <c r="B31" s="66" t="s">
        <v>1069</v>
      </c>
    </row>
    <row r="32" spans="2:5">
      <c r="B32" s="64" t="s">
        <v>1025</v>
      </c>
      <c r="C32" s="65" t="s">
        <v>1026</v>
      </c>
      <c r="D32" s="65" t="s">
        <v>1027</v>
      </c>
      <c r="E32" s="64" t="s">
        <v>1028</v>
      </c>
    </row>
    <row r="33" spans="2:5">
      <c r="B33" s="63" t="s">
        <v>1048</v>
      </c>
      <c r="C33" s="52" t="s">
        <v>1049</v>
      </c>
      <c r="D33" s="52" t="s">
        <v>1031</v>
      </c>
      <c r="E33" s="63" t="s">
        <v>1050</v>
      </c>
    </row>
    <row r="34" spans="2:5">
      <c r="B34" s="63" t="s">
        <v>1051</v>
      </c>
      <c r="C34" s="52" t="s">
        <v>1049</v>
      </c>
      <c r="D34" s="52" t="s">
        <v>1031</v>
      </c>
      <c r="E34" s="63" t="s">
        <v>1052</v>
      </c>
    </row>
    <row r="35" spans="2:5">
      <c r="B35" s="63" t="s">
        <v>1053</v>
      </c>
      <c r="C35" s="52" t="s">
        <v>1054</v>
      </c>
      <c r="D35" s="52" t="s">
        <v>1031</v>
      </c>
      <c r="E35" s="63" t="s">
        <v>1070</v>
      </c>
    </row>
    <row r="36" spans="2:5">
      <c r="B36" s="63" t="s">
        <v>1056</v>
      </c>
      <c r="C36" s="52" t="s">
        <v>1039</v>
      </c>
      <c r="D36" s="52" t="s">
        <v>1031</v>
      </c>
      <c r="E36" s="63" t="s">
        <v>1071</v>
      </c>
    </row>
    <row r="37" spans="2:5">
      <c r="B37" s="68" t="s">
        <v>1043</v>
      </c>
      <c r="C37" t="s">
        <v>1072</v>
      </c>
    </row>
    <row r="38" spans="2:5">
      <c r="C38" t="s">
        <v>1073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33F1E-E80A-473F-9724-B31E0CB114CF}">
  <dimension ref="C2:I18"/>
  <sheetViews>
    <sheetView workbookViewId="0">
      <selection activeCell="D24" sqref="D24"/>
    </sheetView>
  </sheetViews>
  <sheetFormatPr defaultRowHeight="14.45"/>
  <cols>
    <col min="3" max="3" width="28.5703125" customWidth="1"/>
    <col min="4" max="4" width="76.42578125" bestFit="1" customWidth="1"/>
    <col min="5" max="5" width="17.5703125" style="1" customWidth="1"/>
    <col min="6" max="6" width="21" style="1" customWidth="1"/>
    <col min="7" max="7" width="16.28515625" style="1" customWidth="1"/>
    <col min="8" max="8" width="10.42578125" style="1" customWidth="1"/>
    <col min="9" max="9" width="50.42578125" bestFit="1" customWidth="1"/>
  </cols>
  <sheetData>
    <row r="2" spans="3:9" ht="30.95">
      <c r="C2" s="72" t="s">
        <v>1074</v>
      </c>
    </row>
    <row r="4" spans="3:9" ht="16.149999999999999" customHeight="1">
      <c r="C4" t="s">
        <v>1075</v>
      </c>
    </row>
    <row r="5" spans="3:9" ht="16.149999999999999" customHeight="1"/>
    <row r="6" spans="3:9" ht="16.149999999999999" customHeight="1">
      <c r="C6" s="87" t="s">
        <v>1076</v>
      </c>
      <c r="D6" s="87" t="s">
        <v>1077</v>
      </c>
      <c r="E6" s="87" t="s">
        <v>1078</v>
      </c>
      <c r="F6" s="87" t="s">
        <v>1079</v>
      </c>
      <c r="G6" s="87" t="s">
        <v>1080</v>
      </c>
      <c r="H6" s="87" t="s">
        <v>1081</v>
      </c>
      <c r="I6" s="87" t="s">
        <v>1082</v>
      </c>
    </row>
    <row r="7" spans="3:9" ht="16.149999999999999" customHeight="1">
      <c r="C7" s="86" t="s">
        <v>1083</v>
      </c>
      <c r="D7" s="51" t="s">
        <v>1084</v>
      </c>
      <c r="E7" s="88" t="s">
        <v>1085</v>
      </c>
      <c r="F7" s="88" t="s">
        <v>1086</v>
      </c>
      <c r="G7" s="88" t="s">
        <v>1087</v>
      </c>
      <c r="H7" s="88" t="s">
        <v>1085</v>
      </c>
      <c r="I7" s="51" t="s">
        <v>1088</v>
      </c>
    </row>
    <row r="8" spans="3:9" ht="16.149999999999999" customHeight="1">
      <c r="C8" s="86" t="s">
        <v>1089</v>
      </c>
      <c r="D8" s="51" t="s">
        <v>1090</v>
      </c>
      <c r="E8" s="88" t="s">
        <v>1087</v>
      </c>
      <c r="F8" s="88" t="s">
        <v>1087</v>
      </c>
      <c r="G8" s="88" t="s">
        <v>1086</v>
      </c>
      <c r="H8" s="88" t="s">
        <v>1085</v>
      </c>
      <c r="I8" s="51" t="s">
        <v>1091</v>
      </c>
    </row>
    <row r="9" spans="3:9" ht="16.149999999999999" customHeight="1">
      <c r="C9" s="86" t="s">
        <v>1092</v>
      </c>
      <c r="D9" s="51" t="s">
        <v>1093</v>
      </c>
      <c r="E9" s="88" t="s">
        <v>1087</v>
      </c>
      <c r="F9" s="88" t="s">
        <v>1087</v>
      </c>
      <c r="G9" s="88" t="s">
        <v>1086</v>
      </c>
      <c r="H9" s="88" t="s">
        <v>1085</v>
      </c>
      <c r="I9" s="51" t="s">
        <v>1094</v>
      </c>
    </row>
    <row r="10" spans="3:9" ht="16.149999999999999" customHeight="1">
      <c r="C10" s="86" t="s">
        <v>1095</v>
      </c>
      <c r="D10" s="51" t="s">
        <v>1096</v>
      </c>
      <c r="E10" s="88" t="s">
        <v>1085</v>
      </c>
      <c r="F10" s="88" t="s">
        <v>1087</v>
      </c>
      <c r="G10" s="88" t="s">
        <v>1086</v>
      </c>
      <c r="H10" s="88" t="s">
        <v>1085</v>
      </c>
      <c r="I10" s="51" t="s">
        <v>1097</v>
      </c>
    </row>
    <row r="11" spans="3:9" ht="16.149999999999999" customHeight="1">
      <c r="C11" s="86" t="s">
        <v>1098</v>
      </c>
      <c r="D11" s="51" t="s">
        <v>1099</v>
      </c>
      <c r="E11" s="88" t="s">
        <v>1085</v>
      </c>
      <c r="F11" s="88" t="s">
        <v>1087</v>
      </c>
      <c r="G11" s="88" t="s">
        <v>1086</v>
      </c>
      <c r="H11" s="88" t="s">
        <v>1085</v>
      </c>
      <c r="I11" s="51" t="s">
        <v>1100</v>
      </c>
    </row>
    <row r="12" spans="3:9" ht="16.149999999999999" customHeight="1">
      <c r="C12" s="86" t="s">
        <v>1101</v>
      </c>
      <c r="D12" s="51" t="s">
        <v>1102</v>
      </c>
      <c r="E12" s="88" t="s">
        <v>1086</v>
      </c>
      <c r="F12" s="88" t="s">
        <v>1087</v>
      </c>
      <c r="G12" s="88" t="s">
        <v>1087</v>
      </c>
      <c r="H12" s="88" t="s">
        <v>1085</v>
      </c>
      <c r="I12" s="51" t="s">
        <v>1103</v>
      </c>
    </row>
    <row r="13" spans="3:9" ht="16.149999999999999" customHeight="1">
      <c r="C13" s="86" t="s">
        <v>1104</v>
      </c>
      <c r="D13" s="51" t="s">
        <v>1105</v>
      </c>
      <c r="E13" s="88" t="s">
        <v>1106</v>
      </c>
      <c r="F13" s="88" t="s">
        <v>1086</v>
      </c>
      <c r="G13" s="88" t="s">
        <v>1085</v>
      </c>
      <c r="H13" s="88" t="s">
        <v>1085</v>
      </c>
      <c r="I13" s="51" t="s">
        <v>1107</v>
      </c>
    </row>
    <row r="14" spans="3:9" ht="16.149999999999999" customHeight="1">
      <c r="C14" s="86" t="s">
        <v>1108</v>
      </c>
      <c r="D14" s="51" t="s">
        <v>1109</v>
      </c>
      <c r="E14" s="88" t="s">
        <v>1106</v>
      </c>
      <c r="F14" s="88" t="s">
        <v>1086</v>
      </c>
      <c r="G14" s="88" t="s">
        <v>1085</v>
      </c>
      <c r="H14" s="88" t="s">
        <v>1085</v>
      </c>
      <c r="I14" s="51" t="s">
        <v>1110</v>
      </c>
    </row>
    <row r="15" spans="3:9" ht="16.149999999999999" customHeight="1">
      <c r="C15" s="86" t="s">
        <v>1111</v>
      </c>
      <c r="D15" s="51" t="s">
        <v>1112</v>
      </c>
      <c r="E15" s="88" t="s">
        <v>1106</v>
      </c>
      <c r="F15" s="88" t="s">
        <v>1086</v>
      </c>
      <c r="G15" s="88" t="s">
        <v>1085</v>
      </c>
      <c r="H15" s="88" t="s">
        <v>1085</v>
      </c>
      <c r="I15" s="51" t="s">
        <v>1113</v>
      </c>
    </row>
    <row r="16" spans="3:9" ht="16.149999999999999" customHeight="1">
      <c r="C16" s="86" t="s">
        <v>1114</v>
      </c>
      <c r="D16" s="51" t="s">
        <v>1115</v>
      </c>
      <c r="E16" s="88" t="s">
        <v>1087</v>
      </c>
      <c r="F16" s="88" t="s">
        <v>1087</v>
      </c>
      <c r="G16" s="88" t="s">
        <v>1086</v>
      </c>
      <c r="H16" s="88" t="s">
        <v>1085</v>
      </c>
      <c r="I16" s="51" t="s">
        <v>1116</v>
      </c>
    </row>
    <row r="17" spans="3:9" ht="16.149999999999999" customHeight="1">
      <c r="C17" s="86" t="s">
        <v>1117</v>
      </c>
      <c r="D17" s="51" t="s">
        <v>1118</v>
      </c>
      <c r="E17" s="88" t="s">
        <v>1087</v>
      </c>
      <c r="F17" s="88" t="s">
        <v>1087</v>
      </c>
      <c r="G17" s="88" t="s">
        <v>1086</v>
      </c>
      <c r="H17" s="88" t="s">
        <v>1085</v>
      </c>
      <c r="I17" s="51" t="s">
        <v>1119</v>
      </c>
    </row>
    <row r="18" spans="3:9" ht="16.149999999999999" customHeight="1">
      <c r="C18" s="86" t="s">
        <v>1120</v>
      </c>
      <c r="D18" s="51" t="s">
        <v>1121</v>
      </c>
      <c r="E18" s="88" t="s">
        <v>1087</v>
      </c>
      <c r="F18" s="88" t="s">
        <v>1086</v>
      </c>
      <c r="G18" s="88" t="s">
        <v>1087</v>
      </c>
      <c r="H18" s="88" t="s">
        <v>1085</v>
      </c>
      <c r="I18" s="51" t="s">
        <v>1122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CD26F-B2A9-4CE6-A5EC-30AE36A1C2DC}">
  <dimension ref="C6:L22"/>
  <sheetViews>
    <sheetView workbookViewId="0">
      <selection activeCell="F26" sqref="F26"/>
    </sheetView>
  </sheetViews>
  <sheetFormatPr defaultRowHeight="14.45"/>
  <cols>
    <col min="3" max="3" width="5" customWidth="1"/>
    <col min="4" max="4" width="19.85546875" bestFit="1" customWidth="1"/>
    <col min="5" max="5" width="29.85546875" customWidth="1"/>
    <col min="6" max="6" width="74.140625" bestFit="1" customWidth="1"/>
    <col min="7" max="11" width="6.5703125" style="1" customWidth="1"/>
    <col min="12" max="12" width="70.140625" bestFit="1" customWidth="1"/>
  </cols>
  <sheetData>
    <row r="6" spans="3:12" ht="17.25" customHeight="1">
      <c r="C6" s="89" t="s">
        <v>1123</v>
      </c>
    </row>
    <row r="7" spans="3:12" ht="17.25" customHeight="1"/>
    <row r="8" spans="3:12" ht="17.25" customHeight="1">
      <c r="C8" s="87" t="s">
        <v>897</v>
      </c>
      <c r="D8" s="87" t="s">
        <v>1124</v>
      </c>
      <c r="E8" s="87" t="s">
        <v>1076</v>
      </c>
      <c r="F8" s="87" t="s">
        <v>1077</v>
      </c>
      <c r="G8" s="90" t="s">
        <v>1125</v>
      </c>
      <c r="H8" s="90" t="s">
        <v>1126</v>
      </c>
      <c r="I8" s="90" t="s">
        <v>1127</v>
      </c>
      <c r="J8" s="90" t="s">
        <v>1128</v>
      </c>
      <c r="K8" s="90" t="s">
        <v>1129</v>
      </c>
      <c r="L8" s="87" t="s">
        <v>1082</v>
      </c>
    </row>
    <row r="9" spans="3:12" ht="17.25" customHeight="1">
      <c r="C9" s="88">
        <v>1</v>
      </c>
      <c r="D9" s="86" t="s">
        <v>1130</v>
      </c>
      <c r="E9" s="51" t="s">
        <v>1083</v>
      </c>
      <c r="F9" s="51" t="s">
        <v>1131</v>
      </c>
      <c r="G9" s="88" t="s">
        <v>818</v>
      </c>
      <c r="H9" s="67" t="s">
        <v>1106</v>
      </c>
      <c r="I9" s="67" t="s">
        <v>799</v>
      </c>
      <c r="J9" s="67" t="s">
        <v>1106</v>
      </c>
      <c r="K9" s="88" t="s">
        <v>1087</v>
      </c>
      <c r="L9" s="51" t="s">
        <v>1132</v>
      </c>
    </row>
    <row r="10" spans="3:12" ht="17.25" customHeight="1">
      <c r="C10" s="88">
        <v>2</v>
      </c>
      <c r="D10" s="86" t="s">
        <v>1130</v>
      </c>
      <c r="E10" s="51" t="s">
        <v>1089</v>
      </c>
      <c r="F10" s="51" t="s">
        <v>1133</v>
      </c>
      <c r="G10" s="88" t="s">
        <v>1087</v>
      </c>
      <c r="H10" s="67" t="s">
        <v>1106</v>
      </c>
      <c r="I10" s="88" t="s">
        <v>1087</v>
      </c>
      <c r="J10" s="67" t="s">
        <v>799</v>
      </c>
      <c r="K10" s="67" t="s">
        <v>1106</v>
      </c>
      <c r="L10" s="51" t="s">
        <v>1134</v>
      </c>
    </row>
    <row r="11" spans="3:12" ht="17.25" customHeight="1">
      <c r="C11" s="88">
        <v>3</v>
      </c>
      <c r="D11" s="86" t="s">
        <v>1130</v>
      </c>
      <c r="E11" s="51" t="s">
        <v>1092</v>
      </c>
      <c r="F11" s="51" t="s">
        <v>1135</v>
      </c>
      <c r="G11" s="88" t="s">
        <v>1087</v>
      </c>
      <c r="H11" s="67" t="s">
        <v>1106</v>
      </c>
      <c r="I11" s="88" t="s">
        <v>1087</v>
      </c>
      <c r="J11" s="67" t="s">
        <v>799</v>
      </c>
      <c r="K11" s="67" t="s">
        <v>1106</v>
      </c>
      <c r="L11" s="51" t="s">
        <v>1136</v>
      </c>
    </row>
    <row r="12" spans="3:12" ht="17.25" customHeight="1">
      <c r="C12" s="88">
        <v>4</v>
      </c>
      <c r="D12" s="86" t="s">
        <v>1130</v>
      </c>
      <c r="E12" s="51" t="s">
        <v>1095</v>
      </c>
      <c r="F12" s="51" t="s">
        <v>1096</v>
      </c>
      <c r="G12" s="88" t="s">
        <v>1085</v>
      </c>
      <c r="H12" s="67" t="s">
        <v>1106</v>
      </c>
      <c r="I12" s="88" t="s">
        <v>1087</v>
      </c>
      <c r="J12" s="67" t="s">
        <v>799</v>
      </c>
      <c r="K12" s="67" t="s">
        <v>1106</v>
      </c>
      <c r="L12" s="86" t="s">
        <v>1137</v>
      </c>
    </row>
    <row r="13" spans="3:12" ht="17.25" customHeight="1">
      <c r="C13" s="88">
        <v>5</v>
      </c>
      <c r="D13" s="86" t="s">
        <v>1130</v>
      </c>
      <c r="E13" s="51" t="s">
        <v>1098</v>
      </c>
      <c r="F13" s="51" t="s">
        <v>1138</v>
      </c>
      <c r="G13" s="88" t="s">
        <v>818</v>
      </c>
      <c r="H13" s="67" t="s">
        <v>818</v>
      </c>
      <c r="I13" s="67" t="s">
        <v>1106</v>
      </c>
      <c r="J13" s="67" t="s">
        <v>799</v>
      </c>
      <c r="K13" s="88" t="s">
        <v>1087</v>
      </c>
      <c r="L13" s="51" t="s">
        <v>1139</v>
      </c>
    </row>
    <row r="14" spans="3:12" ht="17.25" customHeight="1">
      <c r="C14" s="88">
        <v>6</v>
      </c>
      <c r="D14" s="86" t="s">
        <v>1140</v>
      </c>
      <c r="E14" s="51" t="s">
        <v>1141</v>
      </c>
      <c r="F14" s="51" t="s">
        <v>1142</v>
      </c>
      <c r="G14" s="67" t="s">
        <v>1106</v>
      </c>
      <c r="H14" s="67" t="s">
        <v>1106</v>
      </c>
      <c r="I14" s="67" t="s">
        <v>1106</v>
      </c>
      <c r="J14" s="88" t="s">
        <v>1087</v>
      </c>
      <c r="K14" s="88" t="s">
        <v>1087</v>
      </c>
      <c r="L14" s="51" t="s">
        <v>1143</v>
      </c>
    </row>
    <row r="15" spans="3:12" ht="17.25" customHeight="1">
      <c r="C15" s="88">
        <v>7</v>
      </c>
      <c r="D15" s="86" t="s">
        <v>1140</v>
      </c>
      <c r="E15" s="51" t="s">
        <v>1144</v>
      </c>
      <c r="F15" s="51" t="s">
        <v>1145</v>
      </c>
      <c r="G15" s="88" t="s">
        <v>1087</v>
      </c>
      <c r="H15" s="67" t="s">
        <v>1106</v>
      </c>
      <c r="I15" s="88" t="s">
        <v>1087</v>
      </c>
      <c r="J15" s="67" t="s">
        <v>799</v>
      </c>
      <c r="K15" s="67" t="s">
        <v>1106</v>
      </c>
      <c r="L15" s="51" t="s">
        <v>1146</v>
      </c>
    </row>
    <row r="16" spans="3:12" ht="17.25" customHeight="1">
      <c r="C16" s="88">
        <v>8</v>
      </c>
      <c r="D16" s="86" t="s">
        <v>1140</v>
      </c>
      <c r="E16" s="51" t="s">
        <v>1101</v>
      </c>
      <c r="F16" s="51" t="s">
        <v>1147</v>
      </c>
      <c r="G16" s="88" t="s">
        <v>1106</v>
      </c>
      <c r="H16" s="67" t="s">
        <v>1106</v>
      </c>
      <c r="I16" s="88" t="s">
        <v>1087</v>
      </c>
      <c r="J16" s="88" t="s">
        <v>1087</v>
      </c>
      <c r="K16" s="88" t="s">
        <v>1087</v>
      </c>
      <c r="L16" s="51" t="s">
        <v>1148</v>
      </c>
    </row>
    <row r="17" spans="3:12" ht="17.25" customHeight="1">
      <c r="C17" s="88">
        <v>9</v>
      </c>
      <c r="D17" s="86" t="s">
        <v>1140</v>
      </c>
      <c r="E17" s="51" t="s">
        <v>1149</v>
      </c>
      <c r="F17" s="51" t="s">
        <v>1150</v>
      </c>
      <c r="G17" s="67" t="s">
        <v>1106</v>
      </c>
      <c r="H17" s="67" t="s">
        <v>1106</v>
      </c>
      <c r="I17" s="67" t="s">
        <v>799</v>
      </c>
      <c r="J17" s="88" t="s">
        <v>1087</v>
      </c>
      <c r="K17" s="88" t="s">
        <v>1087</v>
      </c>
      <c r="L17" s="86" t="s">
        <v>1151</v>
      </c>
    </row>
    <row r="18" spans="3:12" ht="17.25" customHeight="1">
      <c r="C18" s="88">
        <v>10</v>
      </c>
      <c r="D18" s="86" t="s">
        <v>1152</v>
      </c>
      <c r="E18" s="51" t="s">
        <v>1153</v>
      </c>
      <c r="F18" s="51" t="s">
        <v>1154</v>
      </c>
      <c r="G18" s="67" t="s">
        <v>1106</v>
      </c>
      <c r="H18" s="67" t="s">
        <v>1106</v>
      </c>
      <c r="I18" s="67" t="s">
        <v>1106</v>
      </c>
      <c r="J18" s="88" t="s">
        <v>1085</v>
      </c>
      <c r="K18" s="67" t="s">
        <v>1087</v>
      </c>
      <c r="L18" s="51" t="s">
        <v>1155</v>
      </c>
    </row>
    <row r="19" spans="3:12" ht="17.25" customHeight="1">
      <c r="C19" s="88">
        <v>11</v>
      </c>
      <c r="D19" s="86" t="s">
        <v>1152</v>
      </c>
      <c r="E19" s="51" t="s">
        <v>1108</v>
      </c>
      <c r="F19" s="51" t="s">
        <v>1156</v>
      </c>
      <c r="G19" s="88" t="s">
        <v>1106</v>
      </c>
      <c r="H19" s="67" t="s">
        <v>1106</v>
      </c>
      <c r="I19" s="67" t="s">
        <v>799</v>
      </c>
      <c r="J19" s="88" t="s">
        <v>1087</v>
      </c>
      <c r="K19" s="88" t="s">
        <v>1087</v>
      </c>
      <c r="L19" s="86" t="s">
        <v>1157</v>
      </c>
    </row>
    <row r="20" spans="3:12" ht="17.25" customHeight="1">
      <c r="C20" s="88">
        <v>12</v>
      </c>
      <c r="D20" s="86" t="s">
        <v>1152</v>
      </c>
      <c r="E20" s="51" t="s">
        <v>1111</v>
      </c>
      <c r="F20" s="51" t="s">
        <v>1158</v>
      </c>
      <c r="G20" s="88" t="s">
        <v>1106</v>
      </c>
      <c r="H20" s="67" t="s">
        <v>1106</v>
      </c>
      <c r="I20" s="67" t="s">
        <v>1106</v>
      </c>
      <c r="J20" s="88" t="s">
        <v>1085</v>
      </c>
      <c r="K20" s="88" t="s">
        <v>1085</v>
      </c>
      <c r="L20" s="51" t="s">
        <v>1159</v>
      </c>
    </row>
    <row r="21" spans="3:12" ht="17.25" customHeight="1">
      <c r="C21" s="88">
        <v>13</v>
      </c>
      <c r="D21" s="86" t="s">
        <v>1160</v>
      </c>
      <c r="E21" s="51" t="s">
        <v>1117</v>
      </c>
      <c r="F21" s="51" t="s">
        <v>1161</v>
      </c>
      <c r="G21" s="88" t="s">
        <v>1087</v>
      </c>
      <c r="H21" s="88" t="s">
        <v>1087</v>
      </c>
      <c r="I21" s="88" t="s">
        <v>1087</v>
      </c>
      <c r="J21" s="67" t="s">
        <v>799</v>
      </c>
      <c r="K21" s="88" t="s">
        <v>1087</v>
      </c>
      <c r="L21" s="51" t="s">
        <v>1162</v>
      </c>
    </row>
    <row r="22" spans="3:12" ht="17.25" customHeight="1">
      <c r="C22" s="88">
        <v>14</v>
      </c>
      <c r="D22" s="86" t="s">
        <v>1160</v>
      </c>
      <c r="E22" s="51" t="s">
        <v>1120</v>
      </c>
      <c r="F22" s="51" t="s">
        <v>1163</v>
      </c>
      <c r="G22" s="88" t="s">
        <v>1087</v>
      </c>
      <c r="H22" s="67" t="s">
        <v>1106</v>
      </c>
      <c r="I22" s="67" t="s">
        <v>799</v>
      </c>
      <c r="J22" s="88" t="s">
        <v>1087</v>
      </c>
      <c r="K22" s="88" t="s">
        <v>1085</v>
      </c>
      <c r="L22" s="86" t="s">
        <v>1164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4866F-1AA6-47A6-8B52-624C68314416}">
  <dimension ref="C3:H36"/>
  <sheetViews>
    <sheetView topLeftCell="A14" workbookViewId="0">
      <selection activeCell="G38" sqref="G38"/>
    </sheetView>
  </sheetViews>
  <sheetFormatPr defaultRowHeight="14.45"/>
  <cols>
    <col min="4" max="4" width="21.5703125" customWidth="1"/>
    <col min="5" max="5" width="19.5703125" customWidth="1"/>
    <col min="6" max="6" width="20.5703125" customWidth="1"/>
    <col min="7" max="7" width="50.140625" customWidth="1"/>
    <col min="8" max="8" width="95.5703125" customWidth="1"/>
  </cols>
  <sheetData>
    <row r="3" spans="3:8" ht="36.4" customHeight="1"/>
    <row r="4" spans="3:8" ht="36.4" customHeight="1"/>
    <row r="5" spans="3:8" ht="17.649999999999999" customHeight="1">
      <c r="C5" s="51" t="s">
        <v>1165</v>
      </c>
      <c r="D5" s="51"/>
      <c r="E5" s="51" t="s">
        <v>1166</v>
      </c>
      <c r="F5" s="51" t="s">
        <v>1167</v>
      </c>
      <c r="G5" s="51" t="s">
        <v>1168</v>
      </c>
      <c r="H5" s="51" t="s">
        <v>1169</v>
      </c>
    </row>
    <row r="6" spans="3:8" ht="17.649999999999999" customHeight="1">
      <c r="C6" s="207" t="s">
        <v>1170</v>
      </c>
      <c r="D6" s="207" t="s">
        <v>1170</v>
      </c>
      <c r="E6" s="51" t="s">
        <v>1171</v>
      </c>
      <c r="F6" s="51" t="s">
        <v>1172</v>
      </c>
      <c r="G6" s="51" t="s">
        <v>1173</v>
      </c>
      <c r="H6" s="51" t="s">
        <v>1174</v>
      </c>
    </row>
    <row r="7" spans="3:8" ht="17.649999999999999" customHeight="1">
      <c r="C7" s="207"/>
      <c r="D7" s="207"/>
      <c r="E7" s="51" t="s">
        <v>1175</v>
      </c>
      <c r="F7" s="51" t="s">
        <v>1176</v>
      </c>
      <c r="G7" s="51" t="s">
        <v>1177</v>
      </c>
      <c r="H7" s="51" t="s">
        <v>1178</v>
      </c>
    </row>
    <row r="8" spans="3:8" ht="17.649999999999999" customHeight="1">
      <c r="C8" s="207"/>
      <c r="D8" s="207"/>
      <c r="E8" s="51" t="s">
        <v>1179</v>
      </c>
      <c r="F8" s="51" t="s">
        <v>1176</v>
      </c>
      <c r="G8" s="51" t="s">
        <v>1180</v>
      </c>
      <c r="H8" s="51" t="s">
        <v>1181</v>
      </c>
    </row>
    <row r="9" spans="3:8" ht="17.649999999999999" customHeight="1">
      <c r="C9" s="207"/>
      <c r="D9" s="207"/>
      <c r="E9" s="51" t="s">
        <v>1182</v>
      </c>
      <c r="F9" s="51" t="s">
        <v>1176</v>
      </c>
      <c r="G9" s="51" t="s">
        <v>1183</v>
      </c>
      <c r="H9" s="51" t="s">
        <v>1184</v>
      </c>
    </row>
    <row r="10" spans="3:8" ht="17.649999999999999" customHeight="1">
      <c r="C10" s="207" t="s">
        <v>1165</v>
      </c>
      <c r="D10" s="207" t="s">
        <v>1185</v>
      </c>
      <c r="E10" s="207" t="s">
        <v>1186</v>
      </c>
      <c r="F10" s="207" t="s">
        <v>1176</v>
      </c>
      <c r="G10" s="51" t="s">
        <v>1187</v>
      </c>
      <c r="H10" s="51" t="s">
        <v>1188</v>
      </c>
    </row>
    <row r="11" spans="3:8" ht="17.649999999999999" customHeight="1">
      <c r="C11" s="207"/>
      <c r="D11" s="207"/>
      <c r="E11" s="207"/>
      <c r="F11" s="207"/>
      <c r="G11" s="51" t="s">
        <v>1189</v>
      </c>
      <c r="H11" s="51" t="s">
        <v>1190</v>
      </c>
    </row>
    <row r="12" spans="3:8" ht="17.649999999999999" customHeight="1">
      <c r="C12" s="207"/>
      <c r="D12" s="207"/>
      <c r="E12" s="207"/>
      <c r="F12" s="207"/>
      <c r="G12" s="51" t="s">
        <v>1191</v>
      </c>
      <c r="H12" s="51" t="s">
        <v>1192</v>
      </c>
    </row>
    <row r="13" spans="3:8" ht="17.649999999999999" customHeight="1">
      <c r="C13" s="207"/>
      <c r="D13" s="207"/>
      <c r="E13" s="51" t="s">
        <v>1193</v>
      </c>
      <c r="F13" s="51" t="s">
        <v>1176</v>
      </c>
      <c r="G13" s="51" t="s">
        <v>1194</v>
      </c>
      <c r="H13" s="51" t="s">
        <v>1195</v>
      </c>
    </row>
    <row r="14" spans="3:8" ht="17.649999999999999" customHeight="1">
      <c r="C14" s="207"/>
      <c r="D14" s="207" t="s">
        <v>1196</v>
      </c>
      <c r="E14" s="207" t="s">
        <v>2</v>
      </c>
      <c r="F14" s="207" t="s">
        <v>1176</v>
      </c>
      <c r="G14" s="51" t="s">
        <v>1197</v>
      </c>
      <c r="H14" s="51" t="s">
        <v>1198</v>
      </c>
    </row>
    <row r="15" spans="3:8" ht="17.649999999999999" customHeight="1">
      <c r="C15" s="207"/>
      <c r="D15" s="207"/>
      <c r="E15" s="207"/>
      <c r="F15" s="207"/>
      <c r="G15" s="51" t="s">
        <v>1199</v>
      </c>
      <c r="H15" s="51" t="s">
        <v>1200</v>
      </c>
    </row>
    <row r="16" spans="3:8" ht="17.649999999999999" customHeight="1">
      <c r="C16" s="207"/>
      <c r="D16" s="207"/>
      <c r="E16" s="51" t="s">
        <v>1201</v>
      </c>
      <c r="F16" s="51" t="s">
        <v>1176</v>
      </c>
      <c r="G16" s="51" t="s">
        <v>1202</v>
      </c>
      <c r="H16" s="51" t="s">
        <v>1203</v>
      </c>
    </row>
    <row r="17" spans="3:8" ht="17.649999999999999" customHeight="1">
      <c r="C17" s="207"/>
      <c r="D17" s="207"/>
      <c r="E17" s="51" t="s">
        <v>1204</v>
      </c>
      <c r="F17" s="51" t="s">
        <v>1176</v>
      </c>
      <c r="G17" s="51" t="s">
        <v>1205</v>
      </c>
      <c r="H17" s="51" t="s">
        <v>1206</v>
      </c>
    </row>
    <row r="18" spans="3:8" ht="17.649999999999999" customHeight="1">
      <c r="C18" s="207"/>
      <c r="D18" s="207"/>
      <c r="E18" s="51" t="s">
        <v>1207</v>
      </c>
      <c r="F18" s="51" t="s">
        <v>1208</v>
      </c>
      <c r="G18" s="51" t="s">
        <v>1209</v>
      </c>
      <c r="H18" s="51" t="s">
        <v>1210</v>
      </c>
    </row>
    <row r="19" spans="3:8" ht="17.649999999999999" customHeight="1">
      <c r="C19" s="207"/>
      <c r="D19" s="207" t="s">
        <v>1211</v>
      </c>
      <c r="E19" s="207" t="s">
        <v>1212</v>
      </c>
      <c r="F19" s="207" t="s">
        <v>1176</v>
      </c>
      <c r="G19" s="51" t="s">
        <v>1213</v>
      </c>
      <c r="H19" s="51" t="s">
        <v>1214</v>
      </c>
    </row>
    <row r="20" spans="3:8" ht="17.649999999999999" customHeight="1">
      <c r="C20" s="207"/>
      <c r="D20" s="207"/>
      <c r="E20" s="207"/>
      <c r="F20" s="207"/>
      <c r="G20" s="51" t="s">
        <v>1215</v>
      </c>
      <c r="H20" s="51" t="s">
        <v>1216</v>
      </c>
    </row>
    <row r="21" spans="3:8" ht="17.649999999999999" customHeight="1">
      <c r="C21" s="207"/>
      <c r="D21" s="207"/>
      <c r="E21" s="207"/>
      <c r="F21" s="207"/>
      <c r="G21" s="51" t="s">
        <v>1217</v>
      </c>
      <c r="H21" s="51" t="s">
        <v>1218</v>
      </c>
    </row>
    <row r="22" spans="3:8" ht="17.649999999999999" customHeight="1">
      <c r="C22" s="207"/>
      <c r="D22" s="207"/>
      <c r="E22" s="207"/>
      <c r="F22" s="207"/>
      <c r="G22" s="51" t="s">
        <v>1219</v>
      </c>
      <c r="H22" s="51" t="s">
        <v>1220</v>
      </c>
    </row>
    <row r="23" spans="3:8" ht="17.649999999999999" customHeight="1">
      <c r="C23" s="207"/>
      <c r="D23" s="207"/>
      <c r="E23" s="51" t="s">
        <v>1221</v>
      </c>
      <c r="F23" s="51" t="s">
        <v>1176</v>
      </c>
      <c r="G23" s="51" t="s">
        <v>1222</v>
      </c>
      <c r="H23" s="51" t="s">
        <v>1223</v>
      </c>
    </row>
    <row r="24" spans="3:8" ht="17.649999999999999" customHeight="1">
      <c r="C24" s="207"/>
      <c r="D24" s="207"/>
      <c r="E24" s="51" t="s">
        <v>1224</v>
      </c>
      <c r="F24" s="51" t="s">
        <v>1176</v>
      </c>
      <c r="G24" s="51" t="s">
        <v>1225</v>
      </c>
      <c r="H24" s="51" t="s">
        <v>1226</v>
      </c>
    </row>
    <row r="25" spans="3:8" ht="17.649999999999999" customHeight="1">
      <c r="C25" s="207" t="s">
        <v>1227</v>
      </c>
      <c r="D25" s="207" t="s">
        <v>1228</v>
      </c>
      <c r="E25" s="207" t="s">
        <v>1229</v>
      </c>
      <c r="F25" s="207" t="s">
        <v>1172</v>
      </c>
      <c r="G25" s="51" t="s">
        <v>1230</v>
      </c>
      <c r="H25" s="51" t="s">
        <v>1231</v>
      </c>
    </row>
    <row r="26" spans="3:8" ht="17.649999999999999" customHeight="1">
      <c r="C26" s="207"/>
      <c r="D26" s="207"/>
      <c r="E26" s="207"/>
      <c r="F26" s="207"/>
      <c r="G26" s="51" t="s">
        <v>1216</v>
      </c>
      <c r="H26" s="51" t="s">
        <v>1232</v>
      </c>
    </row>
    <row r="27" spans="3:8" ht="17.649999999999999" customHeight="1">
      <c r="C27" s="207"/>
      <c r="D27" s="207"/>
      <c r="E27" s="207"/>
      <c r="F27" s="207"/>
      <c r="G27" s="51" t="s">
        <v>1218</v>
      </c>
      <c r="H27" s="51" t="s">
        <v>1233</v>
      </c>
    </row>
    <row r="28" spans="3:8" ht="17.649999999999999" customHeight="1">
      <c r="C28" s="207"/>
      <c r="D28" s="207"/>
      <c r="E28" s="207"/>
      <c r="F28" s="207"/>
      <c r="G28" s="51" t="s">
        <v>1220</v>
      </c>
      <c r="H28" s="51" t="s">
        <v>1234</v>
      </c>
    </row>
    <row r="29" spans="3:8" ht="17.649999999999999" customHeight="1">
      <c r="C29" s="207"/>
      <c r="D29" s="207"/>
      <c r="E29" s="207"/>
      <c r="F29" s="207"/>
      <c r="G29" s="51" t="s">
        <v>1223</v>
      </c>
      <c r="H29" s="51" t="s">
        <v>1235</v>
      </c>
    </row>
    <row r="30" spans="3:8" ht="17.649999999999999" customHeight="1">
      <c r="C30" s="207"/>
      <c r="D30" s="207"/>
      <c r="E30" s="51" t="s">
        <v>1236</v>
      </c>
      <c r="F30" s="51" t="s">
        <v>1172</v>
      </c>
      <c r="G30" s="51" t="s">
        <v>1226</v>
      </c>
      <c r="H30" s="51"/>
    </row>
    <row r="31" spans="3:8" ht="17.649999999999999" customHeight="1">
      <c r="C31" s="207" t="s">
        <v>1237</v>
      </c>
      <c r="D31" s="51" t="s">
        <v>1238</v>
      </c>
      <c r="E31" s="51" t="s">
        <v>1239</v>
      </c>
      <c r="F31" s="51" t="s">
        <v>1240</v>
      </c>
      <c r="G31" s="51" t="s">
        <v>1173</v>
      </c>
      <c r="H31" s="51" t="s">
        <v>1174</v>
      </c>
    </row>
    <row r="32" spans="3:8" ht="17.649999999999999" customHeight="1">
      <c r="C32" s="207"/>
      <c r="D32" s="207" t="s">
        <v>1241</v>
      </c>
      <c r="E32" s="51" t="s">
        <v>1242</v>
      </c>
      <c r="F32" s="51" t="s">
        <v>1172</v>
      </c>
      <c r="G32" s="51" t="s">
        <v>1177</v>
      </c>
      <c r="H32" s="51" t="s">
        <v>1178</v>
      </c>
    </row>
    <row r="33" spans="3:8" ht="17.649999999999999" customHeight="1">
      <c r="C33" s="207"/>
      <c r="D33" s="207"/>
      <c r="E33" s="51" t="s">
        <v>1243</v>
      </c>
      <c r="F33" s="51" t="s">
        <v>1172</v>
      </c>
      <c r="G33" s="51" t="s">
        <v>1180</v>
      </c>
      <c r="H33" s="51" t="s">
        <v>1181</v>
      </c>
    </row>
    <row r="34" spans="3:8" ht="17.649999999999999" customHeight="1">
      <c r="C34" s="207"/>
      <c r="D34" s="207"/>
      <c r="E34" s="51" t="s">
        <v>1244</v>
      </c>
      <c r="F34" s="51" t="s">
        <v>1172</v>
      </c>
      <c r="G34" s="51" t="s">
        <v>1183</v>
      </c>
      <c r="H34" s="51" t="s">
        <v>1184</v>
      </c>
    </row>
    <row r="35" spans="3:8" ht="17.649999999999999" customHeight="1">
      <c r="C35" s="207"/>
      <c r="D35" s="207"/>
      <c r="E35" s="51" t="s">
        <v>1245</v>
      </c>
      <c r="F35" s="51" t="s">
        <v>1246</v>
      </c>
      <c r="G35" s="51"/>
      <c r="H35" s="51"/>
    </row>
    <row r="36" spans="3:8" ht="17.649999999999999" customHeight="1">
      <c r="C36" s="207"/>
      <c r="D36" s="51" t="s">
        <v>1247</v>
      </c>
      <c r="E36" s="51" t="s">
        <v>1247</v>
      </c>
      <c r="F36" s="51" t="s">
        <v>1172</v>
      </c>
      <c r="G36" s="51"/>
      <c r="H36" s="51"/>
    </row>
  </sheetData>
  <mergeCells count="18">
    <mergeCell ref="C31:C36"/>
    <mergeCell ref="D32:D35"/>
    <mergeCell ref="E19:E22"/>
    <mergeCell ref="F19:F22"/>
    <mergeCell ref="C25:C30"/>
    <mergeCell ref="D25:D30"/>
    <mergeCell ref="E25:E29"/>
    <mergeCell ref="F25:F29"/>
    <mergeCell ref="C6:C9"/>
    <mergeCell ref="D6:D9"/>
    <mergeCell ref="C10:C24"/>
    <mergeCell ref="D10:D13"/>
    <mergeCell ref="E10:E12"/>
    <mergeCell ref="F10:F12"/>
    <mergeCell ref="D14:D18"/>
    <mergeCell ref="E14:E15"/>
    <mergeCell ref="F14:F15"/>
    <mergeCell ref="D19:D2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EF6B404F4CD894AB59E9485E90A94C9" ma:contentTypeVersion="15" ma:contentTypeDescription="Create a new document." ma:contentTypeScope="" ma:versionID="ed1565e2639ed4b31592fedcbfd48b4d">
  <xsd:schema xmlns:xsd="http://www.w3.org/2001/XMLSchema" xmlns:xs="http://www.w3.org/2001/XMLSchema" xmlns:p="http://schemas.microsoft.com/office/2006/metadata/properties" xmlns:ns2="ad264a1e-08fd-408d-bf45-81c5b4fe1ec1" xmlns:ns3="473fc93e-babb-4dbc-a814-5579cca8a8b3" targetNamespace="http://schemas.microsoft.com/office/2006/metadata/properties" ma:root="true" ma:fieldsID="4feef6c4a2f580ad24de6035379ee068" ns2:_="" ns3:_="">
    <xsd:import namespace="ad264a1e-08fd-408d-bf45-81c5b4fe1ec1"/>
    <xsd:import namespace="473fc93e-babb-4dbc-a814-5579cca8a8b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2:MediaServiceDateTaken" minOccurs="0"/>
                <xsd:element ref="ns2:MediaServiceLocation" minOccurs="0"/>
                <xsd:element ref="ns2:MediaServiceOCR"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d264a1e-08fd-408d-bf45-81c5b4fe1e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39c6995-f766-4945-9983-687bd46322c5"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Location" ma:index="15" nillable="true" ma:displayName="Location" ma:indexed="true" ma:internalName="MediaServiceLocatio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73fc93e-babb-4dbc-a814-5579cca8a8b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d264a1e-08fd-408d-bf45-81c5b4fe1ec1">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4B88A15-0CD7-4ECD-8D4B-1E47A37ECC7C}"/>
</file>

<file path=customXml/itemProps2.xml><?xml version="1.0" encoding="utf-8"?>
<ds:datastoreItem xmlns:ds="http://schemas.openxmlformats.org/officeDocument/2006/customXml" ds:itemID="{388B46BD-C63A-4ECA-8597-708B3F0B3FFA}"/>
</file>

<file path=customXml/itemProps3.xml><?xml version="1.0" encoding="utf-8"?>
<ds:datastoreItem xmlns:ds="http://schemas.openxmlformats.org/officeDocument/2006/customXml" ds:itemID="{5ABE51F2-AA5A-4F47-ACD3-A95D2A0231C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2026-03-16T02:58:38Z</dcterms:created>
  <dcterms:modified xsi:type="dcterms:W3CDTF">2026-10-10T07:25:06Z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0x0101008EF6B404F4CD894AB59E9485E90A94C9</vt:lpwstr>
  </property>
</Properties>
</file>